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repos\others\content-TITLE\resources\4managers\"/>
    </mc:Choice>
  </mc:AlternateContent>
  <xr:revisionPtr revIDLastSave="0" documentId="13_ncr:1_{2E3B39F5-4796-48A5-B545-0CE28099A019}" xr6:coauthVersionLast="47" xr6:coauthVersionMax="47" xr10:uidLastSave="{00000000-0000-0000-0000-000000000000}"/>
  <bookViews>
    <workbookView xWindow="-120" yWindow="-16320" windowWidth="29040" windowHeight="15720" activeTab="1" xr2:uid="{248A552F-6F24-45ED-8B43-35FA2B192A1E}"/>
  </bookViews>
  <sheets>
    <sheet name="tools" sheetId="4" r:id="rId1"/>
    <sheet name="input" sheetId="1" r:id="rId2"/>
    <sheet name="README" sheetId="10" r:id="rId3"/>
    <sheet name="compétences" sheetId="9" r:id="rId4"/>
  </sheets>
  <externalReferences>
    <externalReference r:id="rId5"/>
  </externalReferences>
  <definedNames>
    <definedName name="Slicer_code">#N/A</definedName>
    <definedName name="Slicer_compétence">#N/A</definedName>
  </definedNames>
  <calcPr calcId="191029"/>
  <pivotCaches>
    <pivotCache cacheId="34"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 l="1"/>
  <c r="D9" i="1" a="1"/>
  <c r="D9" i="1" s="1"/>
  <c r="D8" i="1"/>
  <c r="C7" i="1"/>
  <c r="D5" i="1"/>
  <c r="D4" i="1"/>
  <c r="C3"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J115" i="1" s="1"/>
  <c r="I116" i="1"/>
  <c r="J116" i="1" s="1"/>
  <c r="I117" i="1"/>
  <c r="J117" i="1" s="1"/>
  <c r="I118" i="1"/>
  <c r="I119" i="1"/>
  <c r="I120" i="1"/>
  <c r="J120" i="1" s="1"/>
  <c r="I121" i="1"/>
  <c r="J121" i="1" s="1"/>
  <c r="I122" i="1"/>
  <c r="J122" i="1" s="1"/>
  <c r="I123" i="1"/>
  <c r="J123" i="1" s="1"/>
  <c r="J20" i="1" l="1"/>
  <c r="J21" i="1"/>
  <c r="J22" i="1"/>
  <c r="J23" i="1"/>
  <c r="J17" i="1"/>
  <c r="J19" i="1"/>
  <c r="J18" i="1"/>
  <c r="J24" i="1"/>
  <c r="J25" i="1"/>
  <c r="J26" i="1"/>
  <c r="J27" i="1"/>
  <c r="J28" i="1"/>
  <c r="J29" i="1"/>
  <c r="J30" i="1"/>
  <c r="J32" i="1"/>
  <c r="J34" i="1"/>
  <c r="J31" i="1"/>
  <c r="J33" i="1"/>
  <c r="J35" i="1"/>
  <c r="J36" i="1"/>
  <c r="J39" i="1"/>
  <c r="J40" i="1"/>
  <c r="J38" i="1"/>
  <c r="J37" i="1"/>
  <c r="J43" i="1"/>
  <c r="J46" i="1"/>
  <c r="J44" i="1"/>
  <c r="J47" i="1"/>
  <c r="J42" i="1"/>
  <c r="J41" i="1"/>
  <c r="J45" i="1"/>
  <c r="J48" i="1"/>
  <c r="J54" i="1"/>
  <c r="J55" i="1"/>
  <c r="J52" i="1"/>
  <c r="J49" i="1"/>
  <c r="J53" i="1"/>
  <c r="J50" i="1"/>
  <c r="J51" i="1"/>
  <c r="J60" i="1"/>
  <c r="J58" i="1"/>
  <c r="J59" i="1"/>
  <c r="J56" i="1"/>
  <c r="J57" i="1"/>
  <c r="J61" i="1"/>
  <c r="J65" i="1"/>
  <c r="J62" i="1"/>
  <c r="J63" i="1"/>
  <c r="J64" i="1"/>
  <c r="J68" i="1"/>
  <c r="J69" i="1"/>
  <c r="J67" i="1"/>
  <c r="J66" i="1"/>
  <c r="J70" i="1"/>
  <c r="J71" i="1"/>
  <c r="J75" i="1"/>
  <c r="J72" i="1"/>
  <c r="J74" i="1"/>
  <c r="J73" i="1"/>
  <c r="J77" i="1"/>
  <c r="J78" i="1"/>
  <c r="J79" i="1"/>
  <c r="J76" i="1"/>
  <c r="J81" i="1"/>
  <c r="J82" i="1"/>
  <c r="J80" i="1"/>
  <c r="J83" i="1"/>
  <c r="J84" i="1"/>
  <c r="J85" i="1"/>
  <c r="J86" i="1"/>
  <c r="J87" i="1"/>
  <c r="J88" i="1"/>
  <c r="J90" i="1"/>
  <c r="J91" i="1"/>
  <c r="J89" i="1"/>
  <c r="J94" i="1"/>
  <c r="J96" i="1"/>
  <c r="J93" i="1"/>
  <c r="J92" i="1"/>
  <c r="J95" i="1"/>
  <c r="J99" i="1"/>
  <c r="J97" i="1"/>
  <c r="J98" i="1"/>
  <c r="J100" i="1"/>
  <c r="J101" i="1"/>
  <c r="J103" i="1"/>
  <c r="J102" i="1"/>
  <c r="J104" i="1"/>
  <c r="J105" i="1"/>
  <c r="J106" i="1"/>
  <c r="J107" i="1"/>
  <c r="J108" i="1"/>
  <c r="J113" i="1"/>
  <c r="J109" i="1"/>
  <c r="J111" i="1"/>
  <c r="J112" i="1"/>
  <c r="J110" i="1"/>
  <c r="J114" i="1"/>
  <c r="J118" i="1"/>
  <c r="J119" i="1"/>
  <c r="J15" i="1"/>
  <c r="J16" i="1"/>
  <c r="K86" i="1" l="1"/>
  <c r="K93" i="1"/>
  <c r="K97" i="1"/>
  <c r="K100" i="1"/>
  <c r="K109" i="1"/>
  <c r="K110" i="1"/>
  <c r="L110" i="1" s="1"/>
  <c r="K24" i="1"/>
  <c r="L24" i="1" s="1"/>
  <c r="K27" i="1"/>
  <c r="L27" i="1" s="1"/>
  <c r="K32" i="1"/>
  <c r="L32" i="1" s="1"/>
  <c r="K36" i="1"/>
  <c r="L36" i="1" s="1"/>
  <c r="K43" i="1"/>
  <c r="L43" i="1" s="1"/>
  <c r="K46" i="1"/>
  <c r="L46" i="1" s="1"/>
  <c r="K52" i="1"/>
  <c r="L52" i="1" s="1"/>
  <c r="K57" i="1"/>
  <c r="L57" i="1" s="1"/>
  <c r="K62" i="1"/>
  <c r="L62" i="1" s="1"/>
  <c r="K68" i="1"/>
  <c r="L68" i="1" s="1"/>
  <c r="K73" i="1"/>
  <c r="L73" i="1" s="1"/>
  <c r="K76" i="1"/>
  <c r="L76" i="1" s="1"/>
  <c r="K79" i="1"/>
  <c r="L79" i="1" s="1"/>
  <c r="K81" i="1"/>
  <c r="L81" i="1" s="1"/>
  <c r="K84" i="1"/>
  <c r="L84" i="1" s="1"/>
  <c r="K87" i="1"/>
  <c r="L87" i="1" s="1"/>
  <c r="K90" i="1"/>
  <c r="L90" i="1" s="1"/>
  <c r="K94" i="1"/>
  <c r="L94" i="1" s="1"/>
  <c r="K102" i="1"/>
  <c r="L102" i="1" s="1"/>
  <c r="K23" i="1"/>
  <c r="L23" i="1" s="1"/>
  <c r="K25" i="1"/>
  <c r="L25" i="1" s="1"/>
  <c r="K28" i="1"/>
  <c r="L28" i="1" s="1"/>
  <c r="K30" i="1"/>
  <c r="L30" i="1" s="1"/>
  <c r="K34" i="1"/>
  <c r="L34" i="1" s="1"/>
  <c r="K39" i="1"/>
  <c r="L39" i="1" s="1"/>
  <c r="K41" i="1"/>
  <c r="L41" i="1" s="1"/>
  <c r="K49" i="1"/>
  <c r="L49" i="1" s="1"/>
  <c r="K55" i="1"/>
  <c r="L55" i="1" s="1"/>
  <c r="K60" i="1"/>
  <c r="L60" i="1" s="1"/>
  <c r="K65" i="1"/>
  <c r="L65" i="1" s="1"/>
  <c r="K70" i="1"/>
  <c r="L70" i="1" s="1"/>
  <c r="K75" i="1"/>
  <c r="L75" i="1" s="1"/>
  <c r="K77" i="1"/>
  <c r="L77" i="1" s="1"/>
  <c r="K80" i="1"/>
  <c r="L80" i="1" s="1"/>
  <c r="K83" i="1"/>
  <c r="L83" i="1" s="1"/>
  <c r="K89" i="1"/>
  <c r="L89" i="1" s="1"/>
  <c r="K91" i="1"/>
  <c r="L91" i="1" s="1"/>
  <c r="K95" i="1"/>
  <c r="L95" i="1" s="1"/>
  <c r="K99" i="1"/>
  <c r="L99" i="1" s="1"/>
  <c r="K106" i="1"/>
  <c r="L106" i="1" s="1"/>
  <c r="K26" i="1"/>
  <c r="L26" i="1" s="1"/>
  <c r="K78" i="1"/>
  <c r="L78" i="1" s="1"/>
  <c r="K82" i="1"/>
  <c r="L82" i="1" s="1"/>
  <c r="K85" i="1"/>
  <c r="L85" i="1" s="1"/>
  <c r="K88" i="1"/>
  <c r="L88" i="1" s="1"/>
  <c r="K92" i="1"/>
  <c r="L92" i="1" s="1"/>
  <c r="K96" i="1"/>
  <c r="L96" i="1" s="1"/>
  <c r="K98" i="1"/>
  <c r="L98" i="1" s="1"/>
  <c r="K104" i="1"/>
  <c r="L104" i="1" s="1"/>
  <c r="K111" i="1"/>
  <c r="L111" i="1" s="1"/>
  <c r="K35" i="1"/>
  <c r="L35" i="1" s="1"/>
  <c r="K37" i="1"/>
  <c r="L37" i="1" s="1"/>
  <c r="K48" i="1"/>
  <c r="L48" i="1" s="1"/>
  <c r="K15" i="1"/>
  <c r="L15" i="1" s="1"/>
  <c r="K16" i="1"/>
  <c r="L16" i="1" s="1"/>
  <c r="K17" i="1"/>
  <c r="L17" i="1" s="1"/>
  <c r="K38" i="1"/>
  <c r="L38" i="1" s="1"/>
  <c r="K18" i="1"/>
  <c r="L18" i="1" s="1"/>
  <c r="K19" i="1"/>
  <c r="L19" i="1" s="1"/>
  <c r="K20" i="1"/>
  <c r="L20" i="1" s="1"/>
  <c r="K29" i="1"/>
  <c r="L29" i="1" s="1"/>
  <c r="K31" i="1"/>
  <c r="L31" i="1" s="1"/>
  <c r="K33" i="1"/>
  <c r="L33" i="1" s="1"/>
  <c r="K40" i="1"/>
  <c r="L40" i="1" s="1"/>
  <c r="K42" i="1"/>
  <c r="L42" i="1" s="1"/>
  <c r="K44" i="1"/>
  <c r="L44" i="1" s="1"/>
  <c r="K45" i="1"/>
  <c r="L45" i="1" s="1"/>
  <c r="K47" i="1"/>
  <c r="L47" i="1" s="1"/>
  <c r="K50" i="1"/>
  <c r="L50" i="1" s="1"/>
  <c r="K51" i="1"/>
  <c r="L51" i="1" s="1"/>
  <c r="K53" i="1"/>
  <c r="L53" i="1" s="1"/>
  <c r="K54" i="1"/>
  <c r="L54" i="1" s="1"/>
  <c r="K56" i="1"/>
  <c r="L56" i="1" s="1"/>
  <c r="K121" i="1"/>
  <c r="L121" i="1" s="1"/>
  <c r="M121" i="1" s="1"/>
  <c r="N121" i="1" s="1"/>
  <c r="K123" i="1"/>
  <c r="L123" i="1" s="1"/>
  <c r="M123" i="1" s="1"/>
  <c r="N123" i="1" s="1"/>
  <c r="K21" i="1"/>
  <c r="L21" i="1" s="1"/>
  <c r="K103" i="1"/>
  <c r="L103" i="1" s="1"/>
  <c r="K59" i="1"/>
  <c r="L59" i="1" s="1"/>
  <c r="K105" i="1"/>
  <c r="L105" i="1" s="1"/>
  <c r="K64" i="1"/>
  <c r="L64" i="1" s="1"/>
  <c r="K69" i="1"/>
  <c r="L69" i="1" s="1"/>
  <c r="K74" i="1"/>
  <c r="L74" i="1" s="1"/>
  <c r="K107" i="1"/>
  <c r="L107" i="1" s="1"/>
  <c r="K112" i="1"/>
  <c r="L112" i="1" s="1"/>
  <c r="K114" i="1"/>
  <c r="L114" i="1" s="1"/>
  <c r="K116" i="1"/>
  <c r="L116" i="1" s="1"/>
  <c r="M116" i="1" s="1"/>
  <c r="N116" i="1" s="1"/>
  <c r="K119" i="1"/>
  <c r="L119" i="1" s="1"/>
  <c r="K58" i="1"/>
  <c r="L58" i="1" s="1"/>
  <c r="K61" i="1"/>
  <c r="L61" i="1" s="1"/>
  <c r="K63" i="1"/>
  <c r="L63" i="1" s="1"/>
  <c r="K66" i="1"/>
  <c r="L66" i="1" s="1"/>
  <c r="K67" i="1"/>
  <c r="L67" i="1" s="1"/>
  <c r="K71" i="1"/>
  <c r="L71" i="1" s="1"/>
  <c r="K72" i="1"/>
  <c r="L72" i="1" s="1"/>
  <c r="K101" i="1"/>
  <c r="L101" i="1" s="1"/>
  <c r="K108" i="1"/>
  <c r="L108" i="1" s="1"/>
  <c r="K113" i="1"/>
  <c r="L113" i="1" s="1"/>
  <c r="K115" i="1"/>
  <c r="L115" i="1" s="1"/>
  <c r="M115" i="1" s="1"/>
  <c r="N115" i="1" s="1"/>
  <c r="K117" i="1"/>
  <c r="L117" i="1" s="1"/>
  <c r="M117" i="1" s="1"/>
  <c r="N117" i="1" s="1"/>
  <c r="K118" i="1"/>
  <c r="L118" i="1" s="1"/>
  <c r="K120" i="1"/>
  <c r="L120" i="1" s="1"/>
  <c r="M120" i="1" s="1"/>
  <c r="N120" i="1" s="1"/>
  <c r="K122" i="1"/>
  <c r="L122" i="1" s="1"/>
  <c r="M122" i="1" s="1"/>
  <c r="N122" i="1" s="1"/>
  <c r="K22" i="1"/>
  <c r="L22" i="1" s="1"/>
  <c r="L109" i="1"/>
  <c r="L93" i="1"/>
  <c r="L86" i="1"/>
  <c r="L97" i="1"/>
  <c r="L100" i="1"/>
  <c r="M15" i="1" l="1"/>
  <c r="N15" i="1" s="1"/>
  <c r="M16" i="1"/>
  <c r="N16" i="1" s="1"/>
  <c r="M17" i="1"/>
  <c r="N17" i="1" s="1"/>
  <c r="M18" i="1"/>
  <c r="N18" i="1" s="1"/>
  <c r="M19" i="1"/>
  <c r="N19" i="1" s="1"/>
  <c r="M20" i="1"/>
  <c r="N20" i="1" s="1"/>
  <c r="M21" i="1"/>
  <c r="N21" i="1" s="1"/>
  <c r="M22" i="1"/>
  <c r="N22" i="1" s="1"/>
  <c r="M23" i="1"/>
  <c r="N23" i="1" s="1"/>
  <c r="M52" i="1"/>
  <c r="N52" i="1" s="1"/>
  <c r="M51" i="1"/>
  <c r="N51" i="1" s="1"/>
  <c r="M50" i="1"/>
  <c r="N50" i="1" s="1"/>
  <c r="M49" i="1"/>
  <c r="N49" i="1" s="1"/>
  <c r="M48" i="1"/>
  <c r="N48" i="1" s="1"/>
  <c r="M53" i="1"/>
  <c r="N53" i="1" s="1"/>
  <c r="M54" i="1"/>
  <c r="N54" i="1" s="1"/>
  <c r="M55" i="1"/>
  <c r="N55" i="1" s="1"/>
  <c r="M46" i="1"/>
  <c r="N46" i="1" s="1"/>
  <c r="M45" i="1"/>
  <c r="N45" i="1" s="1"/>
  <c r="M44" i="1"/>
  <c r="N44" i="1" s="1"/>
  <c r="M43" i="1"/>
  <c r="N43" i="1" s="1"/>
  <c r="M41" i="1"/>
  <c r="N41" i="1" s="1"/>
  <c r="M42" i="1"/>
  <c r="N42" i="1" s="1"/>
  <c r="M47" i="1"/>
  <c r="N47" i="1" s="1"/>
  <c r="M27" i="1"/>
  <c r="N27" i="1" s="1"/>
  <c r="M29" i="1"/>
  <c r="N29" i="1" s="1"/>
  <c r="M28" i="1"/>
  <c r="N28" i="1" s="1"/>
  <c r="M24" i="1"/>
  <c r="N24" i="1" s="1"/>
  <c r="M25" i="1"/>
  <c r="N25" i="1" s="1"/>
  <c r="M26" i="1"/>
  <c r="N26" i="1" s="1"/>
  <c r="M35" i="1"/>
  <c r="N35" i="1" s="1"/>
  <c r="M34" i="1"/>
  <c r="N34" i="1" s="1"/>
  <c r="M33" i="1"/>
  <c r="N33" i="1" s="1"/>
  <c r="M32" i="1"/>
  <c r="N32" i="1" s="1"/>
  <c r="M31" i="1"/>
  <c r="N31" i="1" s="1"/>
  <c r="M30" i="1"/>
  <c r="N30" i="1" s="1"/>
  <c r="M56" i="1"/>
  <c r="N56" i="1" s="1"/>
  <c r="M57" i="1"/>
  <c r="N57" i="1" s="1"/>
  <c r="M58" i="1"/>
  <c r="N58" i="1" s="1"/>
  <c r="M59" i="1"/>
  <c r="N59" i="1" s="1"/>
  <c r="M60" i="1"/>
  <c r="N60" i="1" s="1"/>
  <c r="M61" i="1"/>
  <c r="N61" i="1" s="1"/>
  <c r="M113" i="1"/>
  <c r="N113" i="1" s="1"/>
  <c r="M111" i="1"/>
  <c r="N111" i="1" s="1"/>
  <c r="M109" i="1"/>
  <c r="N109" i="1" s="1"/>
  <c r="M114" i="1"/>
  <c r="N114" i="1" s="1"/>
  <c r="M112" i="1"/>
  <c r="N112" i="1" s="1"/>
  <c r="M110" i="1"/>
  <c r="N110" i="1" s="1"/>
  <c r="M37" i="1"/>
  <c r="N37" i="1" s="1"/>
  <c r="M36" i="1"/>
  <c r="N36" i="1" s="1"/>
  <c r="M40" i="1"/>
  <c r="N40" i="1" s="1"/>
  <c r="M39" i="1"/>
  <c r="N39" i="1" s="1"/>
  <c r="M38" i="1"/>
  <c r="N38" i="1" s="1"/>
  <c r="M71" i="1"/>
  <c r="N71" i="1" s="1"/>
  <c r="M72" i="1"/>
  <c r="N72" i="1" s="1"/>
  <c r="M75" i="1"/>
  <c r="N75" i="1" s="1"/>
  <c r="M73" i="1"/>
  <c r="N73" i="1" s="1"/>
  <c r="M74" i="1"/>
  <c r="N74" i="1" s="1"/>
  <c r="M70" i="1"/>
  <c r="N70" i="1" s="1"/>
  <c r="M69" i="1"/>
  <c r="N69" i="1" s="1"/>
  <c r="M67" i="1"/>
  <c r="N67" i="1" s="1"/>
  <c r="M66" i="1"/>
  <c r="N66" i="1" s="1"/>
  <c r="M68" i="1"/>
  <c r="N68" i="1" s="1"/>
  <c r="M92" i="1"/>
  <c r="N92" i="1" s="1"/>
  <c r="M94" i="1"/>
  <c r="N94" i="1" s="1"/>
  <c r="M96" i="1"/>
  <c r="N96" i="1" s="1"/>
  <c r="M93" i="1"/>
  <c r="N93" i="1" s="1"/>
  <c r="M95" i="1"/>
  <c r="N95" i="1" s="1"/>
  <c r="M65" i="1"/>
  <c r="N65" i="1" s="1"/>
  <c r="M63" i="1"/>
  <c r="N63" i="1" s="1"/>
  <c r="M64" i="1"/>
  <c r="N64" i="1" s="1"/>
  <c r="M62" i="1"/>
  <c r="N62" i="1" s="1"/>
  <c r="M78" i="1"/>
  <c r="N78" i="1" s="1"/>
  <c r="M76" i="1"/>
  <c r="N76" i="1" s="1"/>
  <c r="M77" i="1"/>
  <c r="N77" i="1" s="1"/>
  <c r="M79" i="1"/>
  <c r="N79" i="1" s="1"/>
  <c r="M85" i="1"/>
  <c r="N85" i="1" s="1"/>
  <c r="M86" i="1"/>
  <c r="N86" i="1" s="1"/>
  <c r="M88" i="1"/>
  <c r="N88" i="1" s="1"/>
  <c r="M87" i="1"/>
  <c r="N87" i="1" s="1"/>
  <c r="M82" i="1"/>
  <c r="N82" i="1" s="1"/>
  <c r="M81" i="1"/>
  <c r="N81" i="1" s="1"/>
  <c r="M80" i="1"/>
  <c r="N80" i="1" s="1"/>
  <c r="M90" i="1"/>
  <c r="N90" i="1" s="1"/>
  <c r="M91" i="1"/>
  <c r="N91" i="1" s="1"/>
  <c r="M89" i="1"/>
  <c r="N89" i="1" s="1"/>
  <c r="M99" i="1"/>
  <c r="N99" i="1" s="1"/>
  <c r="M98" i="1"/>
  <c r="N98" i="1" s="1"/>
  <c r="M97" i="1"/>
  <c r="N97" i="1" s="1"/>
  <c r="M106" i="1"/>
  <c r="N106" i="1" s="1"/>
  <c r="M107" i="1"/>
  <c r="N107" i="1" s="1"/>
  <c r="M108" i="1"/>
  <c r="N108" i="1" s="1"/>
  <c r="M84" i="1"/>
  <c r="N84" i="1" s="1"/>
  <c r="M83" i="1"/>
  <c r="N83" i="1" s="1"/>
  <c r="M100" i="1"/>
  <c r="N100" i="1" s="1"/>
  <c r="M101" i="1"/>
  <c r="N101" i="1" s="1"/>
  <c r="M102" i="1"/>
  <c r="N102" i="1" s="1"/>
  <c r="M103" i="1"/>
  <c r="N103" i="1" s="1"/>
  <c r="M104" i="1"/>
  <c r="N104" i="1" s="1"/>
  <c r="M105" i="1"/>
  <c r="N105" i="1" s="1"/>
  <c r="M118" i="1"/>
  <c r="N118" i="1" s="1"/>
  <c r="M119" i="1"/>
  <c r="N119"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CE98D9-F15E-4818-AC0C-03FBDE885E5D}" keepAlive="1" name="Query - compétences (2)" description="Connection to the 'compétences (2)' query in the workbook." type="5" refreshedVersion="8" background="1">
    <dbPr connection="Provider=Microsoft.Mashup.OleDb.1;Data Source=$Workbook$;Location=&quot;compétences (2)&quot;;Extended Properties=&quot;&quot;" command="SELECT * FROM [compétences (2)]"/>
  </connection>
  <connection id="2" xr16:uid="{E69769CD-B4DC-4802-ACE9-1FB2A5F66EDC}" keepAlive="1" name="Query - processing" description="Connection to the 'processing' query in the workbook." type="5" refreshedVersion="0" background="1">
    <dbPr connection="Provider=Microsoft.Mashup.OleDb.1;Data Source=$Workbook$;Location=processing;Extended Properties=&quot;&quot;" command="SELECT * FROM [processing]"/>
  </connection>
  <connection id="3" xr16:uid="{7F37D3C4-E6BF-4301-9FDF-E64218A3766C}" keepAlive="1" name="Query - skills" description="Connection to the 'skills' query in the workbook." type="5" refreshedVersion="8" background="1">
    <dbPr connection="Provider=Microsoft.Mashup.OleDb.1;Data Source=$Workbook$;Location=skills;Extended Properties=&quot;&quot;" command="SELECT * FROM [skills]"/>
  </connection>
  <connection id="4" xr16:uid="{97A4505D-2F00-454D-8577-E7FEBB6FBF09}" keepAlive="1" name="Query - t_input" description="Connection to the 't_input' query in the workbook." type="5" refreshedVersion="0" background="1">
    <dbPr connection="Provider=Microsoft.Mashup.OleDb.1;Data Source=$Workbook$;Location=t_input;Extended Properties=&quot;&quot;" command="SELECT * FROM [t_input]"/>
  </connection>
  <connection id="5" xr16:uid="{58525619-5943-4C5D-8FF8-5E7E60B4FFEC}" keepAlive="1" name="Query - t_tools_frmwk" description="Connection to the 't_tools_frmwk' query in the workbook." type="5" refreshedVersion="0" background="1">
    <dbPr connection="Provider=Microsoft.Mashup.OleDb.1;Data Source=$Workbook$;Location=t_tools_frmwk;Extended Properties=&quot;&quot;" command="SELECT * FROM [t_tools_frmwk]"/>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<sst xmlns="http://schemas.openxmlformats.org/spreadsheetml/2006/main" count="2128" uniqueCount="1069">
  <si>
    <t>skill_descr</t>
  </si>
  <si>
    <t>observable</t>
  </si>
  <si>
    <t>yes</t>
  </si>
  <si>
    <t>?</t>
  </si>
  <si>
    <t>feeling</t>
  </si>
  <si>
    <t>Gestion des actifs</t>
  </si>
  <si>
    <t>Gérer le cycle de vie complet des actifs, de l’acquisition à la cession en passant par l’exploitation et la maintenance.</t>
  </si>
  <si>
    <t>Analyse des données.</t>
  </si>
  <si>
    <t>Permettre une prise de décision fondée sur les données en extrayant, analysant et communiquant des informations à partir de données structurées et non structurées.</t>
  </si>
  <si>
    <t>garantir la qualité, l’intégrité et la gouvernance des données</t>
  </si>
  <si>
    <t>Déploiement</t>
  </si>
  <si>
    <t>Faire passer un logiciel du stade du développement à celui de l’utilisation réelle, en gérant les risques et en veillant à ce qu’il fonctionne comme prévu.</t>
  </si>
  <si>
    <t>suivi et dépannage des processus de déploiement</t>
  </si>
  <si>
    <t>Tests fonctionnels</t>
  </si>
  <si>
    <t>Évaluer les exigences fonctionnelles spécifiées ou non spécifiées et les caractéristiques des produits, des systèmes et des services par le biais d’analyses et de tests.</t>
  </si>
  <si>
    <t>exécuter des tests pour vérifier que les résultats réels correspondent aux résultats escomptés.</t>
  </si>
  <si>
    <t>Assurance des informations</t>
  </si>
  <si>
    <t>Protection et gestion des risques relatifs à l’utilisation, l’entreposage et la transmission de systèmes de données et d’information.</t>
  </si>
  <si>
    <t>Gestion des incidents</t>
  </si>
  <si>
    <t>Coordonner les réponses à un large éventail d’incidents afin de minimiser les impacts négatifs et de rétablir rapidement les services.</t>
  </si>
  <si>
    <t>veiller au respect des réglementations et des exigences en matière de confidentialité des données</t>
  </si>
  <si>
    <t>authenticité -- valider l’identité des utilisateurs et appareils</t>
  </si>
  <si>
    <t>disponibilité -- assurer que les utilisateurs autorisés ont facilement accès à l’information dont ils ont besoin</t>
  </si>
  <si>
    <t>confidentialité -- restreindre l’accès aux utilisateurs autorisés uniquement</t>
  </si>
  <si>
    <t>intégrité -- protéger l’information de modification, récupération ou suppression non-autorisée</t>
  </si>
  <si>
    <t>Sécurisation de l’information</t>
  </si>
  <si>
    <t>Définition et opération d’un cadre de contrôles de sécurité et de stratégies de gestion de la sécurité.</t>
  </si>
  <si>
    <t>intégrer les principes de sécurité dès la conception tout au long du cycle de vie du système, en veillant à ce que la sécurité soit intégrée dès les premières étapes de la conception, tout au long du développement, du déploiement et de l’exploitation</t>
  </si>
  <si>
    <t>Support de portefeuilles, programmes et projets</t>
  </si>
  <si>
    <t>Fournit support et orientation en processus, procédures, outils et techniques de gestion de portefeuilles, programmes et projets.</t>
  </si>
  <si>
    <t>Programmation/développement de logiciels</t>
  </si>
  <si>
    <t>Développement de composants logiciels pour livrer de la valeur aux parties prenantes.</t>
  </si>
  <si>
    <t>application de développement basé sur les tests et assurance d’une couverture de test adéquate</t>
  </si>
  <si>
    <t>documentation des composants logiciels</t>
  </si>
  <si>
    <t>résolution de problèmes opérationnels avec le logiciel et correction de défauts.</t>
  </si>
  <si>
    <t>sélection de méthodes de développement et cycles de vie appropriés</t>
  </si>
  <si>
    <t>compréhension et accord sur la valeur des composants logiciels à développer</t>
  </si>
  <si>
    <t>utilisation de techniques de revue par les pairs -- telles que la programmation en binôme</t>
  </si>
  <si>
    <t>Définition et gestion des exigences</t>
  </si>
  <si>
    <t>Gestion des exigences au travers de l’ensemble du cycle de vie livraison et opérationnel.</t>
  </si>
  <si>
    <t>s’assurer que les exigences, les priorités et les critères d’acceptation du client sont correctement saisis et validés</t>
  </si>
  <si>
    <t>Gestion des risques</t>
  </si>
  <si>
    <t>Planifier et mettre en œuvre des processus de gestion des risques dans l’ensemble de l’entreprise, en accord avec la stratégie de l’organisation et les cadres de gouvernance.</t>
  </si>
  <si>
    <t>Opérations de sécurisation</t>
  </si>
  <si>
    <t>Gérer et administrer les mesures de sécurité, en utilisant des outils et des renseignements pour protéger les actifs, en garantissant la conformité et l’intégrité opérationnelle.</t>
  </si>
  <si>
    <t>collaborer avec les équipes pour aligner les initiatives d’analyse sur les objectifs de l’entreprise</t>
  </si>
  <si>
    <t>concevoir et mettre en œuvre des solutions et des processus d’analyse des données</t>
  </si>
  <si>
    <t>Science des données</t>
  </si>
  <si>
    <t>Application de mathématiques, statistiques, exploration de données et techniques de modélisation prédictive pour obtenir des informations, prédire les comportements et générer de la valeur à partir des données.</t>
  </si>
  <si>
    <t>développement d’hypothèses et exploration de données à l’aide de modèles et de sandboxes analytiques</t>
  </si>
  <si>
    <t>découverte, sélection, acquisition et ingestion des sources de données,</t>
  </si>
  <si>
    <t>identification, validation et exploitation d’ensembles de données internes et externes générés à partir d’un large éventail de processus</t>
  </si>
  <si>
    <t>intégration de méthodes issues des mathématiques, statistiques et modélisation probabiliste à l’aide de langages, outils et techniques de programmation spécialisés</t>
  </si>
  <si>
    <t>affinage des exigences, validation, formation et évolution de modèles au fil du temps pour découvrir des constatations plus approfondies, faire des prédictions ou générer des recommandations</t>
  </si>
  <si>
    <t>utilisation de techniques analytiques avancées, y compris, mais sans s’y limiter, l’exploration de données et de textes, l’apprentissage automatique, la comparaison de modèles, les prévisions, la visualisation, l’analyse sémantique, l’analyse des sentiments, l’analyse des réseaux et des grappes, les statistiques à plusieurs variables, l’analyse graphique, la simulation, le traitement d’événements complexes et les réseaux neuronaux.</t>
  </si>
  <si>
    <t>concevoir et adapter les cas de test en fonction des exigences, y compris les différents scénarios, les valeurs limites et les cas marginaux.</t>
  </si>
  <si>
    <t>préparer les données et configurer les environnements pour simuler des cas d’utilisation réalistes.</t>
  </si>
  <si>
    <t>promouvoir une approche « shift-left » en intégrant des tests fonctionnels dès le début du cycle de vie pour une détection précoce des problèmes.</t>
  </si>
  <si>
    <t>Apprentissage machine</t>
  </si>
  <si>
    <t>Développer des systèmes qui apprennent à partir des données et de l’expérience, en améliorant les performances, la précision et l’adaptabilité dans des environnements dynamiques.</t>
  </si>
  <si>
    <t>conception, entraînement, optimisation et réentraînement de modèles utilisant l’apprentissage supervisé, non supervisé ou par renforcement</t>
  </si>
  <si>
    <t>sélectionner et appliquer les techniques, algorithmes et outils d’apprentissage automatique appropriés pour résoudre les problèmes de l’entreprise</t>
  </si>
  <si>
    <t>Mesures</t>
  </si>
  <si>
    <t>Développement et opération d’une aptitude de mesure pour soutenir les besoins d’informations organisationnels convenus.</t>
  </si>
  <si>
    <t>utilisation de mesures pour évaluer la performance et le progrès et fournir des indicateurs et aperçus des problèmes, enjeux et risques actuels ou potentiels</t>
  </si>
  <si>
    <t>Méthodes et outils</t>
  </si>
  <si>
    <t>Dirige l’adoption, la gestion et l’optimisation des méthodes et des outils, en veillant à leur utilisation efficace et à leur alignement sur les objectifs de l’organisation.</t>
  </si>
  <si>
    <t>évaluation, sélection et implémentation de méthodes et outils</t>
  </si>
  <si>
    <t>évaluer l’efficacité des méthodes et outils mis en œuvre</t>
  </si>
  <si>
    <t>mesure, adaptation, amélioration et automatisation de l’utilisation des méthodes et outils</t>
  </si>
  <si>
    <t>Tests non fonctionnels</t>
  </si>
  <si>
    <t>Évaluer les systèmes et les services afin d’évaluer les performances, la sécurité, l’évolutivité et d’autres qualités non fonctionnelles par rapport aux exigences ou aux normes attendues.</t>
  </si>
  <si>
    <t>analyser les résultats pour évaluer les performances du système, la sécurité et d’autres qualités essentielles, et fournir des indications pour l’améliorer</t>
  </si>
  <si>
    <t>Tests de processus</t>
  </si>
  <si>
    <t>Évaluer les flux de processus documentés et non documentés au sein d’un produit, d’un système ou d’un service en fonction des besoins de l’entreprise par le biais d’enquêtes et de tests.</t>
  </si>
  <si>
    <t>application de techniques de récupération pour assurer que le logiciel en développement ne soit pas perdu</t>
  </si>
  <si>
    <t>Gestion des versions</t>
  </si>
  <si>
    <t>Gérer la mise en production de services nouveaux et actualisés, en veillant à ce qu’ils soient conformes aux objectifs de l’entreprise et aux normes de conformité.</t>
  </si>
  <si>
    <t>réalisation d’examens après la libération et identification des domaines à améliorer</t>
  </si>
  <si>
    <t>veiller à ce que les versions respectent les normes de qualité, de sécurité et de conformité</t>
  </si>
  <si>
    <t>gérer le cycle de vie de la version, y compris la construction, les tests, le déploiement et l’examen post-implémentation</t>
  </si>
  <si>
    <t>Gestion des données</t>
  </si>
  <si>
    <t>Élaboration et mise en œuvre de plans, directives et pratiques qui contrôlent, protègent et optimisent la valeur et la gouvernance des actifs de données.</t>
  </si>
  <si>
    <t>Modélisation des données</t>
  </si>
  <si>
    <t>Développer des modèles et des diagrammes pour représenter, communiquer et gérer les exigences en matière de données et les actifs de données.</t>
  </si>
  <si>
    <t>développement des constatations prospectives, prédictives, en temps réel et basées sur des modèles pour créer de la valeur et favoriser une prise de décision efficace</t>
  </si>
  <si>
    <t>utiliser des outils et des techniques de déploiement pour garantir des déploiements cohérents et reproductibles, en soutenant la gouvernance, l’audit et la gestion du changement</t>
  </si>
  <si>
    <t>enregistrer les défauts avec des étapes de reproduction détaillées, classer les problèmes par ordre de priorité et fournir un retour d’information en vue d’améliorations.</t>
  </si>
  <si>
    <t>Conformité des informations et des données</t>
  </si>
  <si>
    <t>Mettre en œuvre et promouvoir le respect de la législation relative à la gestion de l’information et des données.</t>
  </si>
  <si>
    <t>Conception des infrastructures</t>
  </si>
  <si>
    <t>Concevoir l’infrastructure technologique pour répondre aux besoins de l’entreprise, en garantissant l’évolutivité, la fiabilité, la sécurité et l’alignement sur les objectifs stratégiques.</t>
  </si>
  <si>
    <t>maintenir une documentation complète sur le processus de conception et les décisions</t>
  </si>
  <si>
    <t>identification des exigences de mesure</t>
  </si>
  <si>
    <t>sélection de mesures et d’échelles de mesures, établissements d’objectifs et de seuils</t>
  </si>
  <si>
    <t>aligner les méthodes et les outils sur les normes et les bonnes pratiques de l’organisation.</t>
  </si>
  <si>
    <t>participer à des examens visant à affiner les exigences non fonctionnelles, en identifiant les risques et en suggérant des améliorations</t>
  </si>
  <si>
    <t>Gestion de projet</t>
  </si>
  <si>
    <t>Obtenir les résultats convenus du projet en adaptant les techniques appropriées de gestion, la collaboration, le leadership et la gouvernance aux contextes spécifiques du projet et de l’organisation.</t>
  </si>
  <si>
    <t>communication avec les parties prenantes et sensibilisation aux besoins et priorités commerciaux</t>
  </si>
  <si>
    <t>définition des livrables, étapes jalons et dépendances</t>
  </si>
  <si>
    <t>timeboxing et livraisons incrémentales</t>
  </si>
  <si>
    <t>utilisation de techniques visuelles pour la surveillance et suivi du projet</t>
  </si>
  <si>
    <t>acquisition de ressources et compétences nécessaires</t>
  </si>
  <si>
    <t>Analyse d’expérience utilisateur</t>
  </si>
  <si>
    <t>Compréhension du contexte d’utilisation de systèmes, produits et services et spécification des exigences d’expérience utilisateur et les objectifs de conception.</t>
  </si>
  <si>
    <t>description des objectifs utilisateurs, tâches et environnement dans lequel les systèmes, produits, services ou dispositifs seront utilisés</t>
  </si>
  <si>
    <t>Améliorations des processus d’entreprise</t>
  </si>
  <si>
    <t>Création de nouvelles approches potentiellement perturbatrices pour effectuer des activités commerciales.</t>
  </si>
  <si>
    <t>exploiter les technologies, telles que l’automatisation des processus robotiques, l’intelligence artificielle et l’apprentissage automatique</t>
  </si>
  <si>
    <t>élaboration de plans, directives et pratiques liés à des domaines tels que, mais sans s’y limiter, la classification, stockage, sécurité, qualité, partage, disponibilité, récupération, conservation et publication</t>
  </si>
  <si>
    <t>déplacer des composants nouveaux ou modifiés vers des environnements de test, d’essai et d’exploitation</t>
  </si>
  <si>
    <t>Gestion des produits</t>
  </si>
  <si>
    <t>Gestion et développement de produits ou de services tout au long de leur cycle de vie, depuis leur création jusqu’à leur retrait, en passant par leur croissance, leur maturité et leur déclin.</t>
  </si>
  <si>
    <t>Conception d’expérience utilisateur</t>
  </si>
  <si>
    <t>Produire des concepts et des prototypes pour les interactions et les expériences des utilisateurs d’un produit, d’un système ou d’un service.</t>
  </si>
  <si>
    <t>compréhension et réponse aux objectifs de conception, exigences de convivialité et d’accessibilité</t>
  </si>
  <si>
    <t>Visualisation des données</t>
  </si>
  <si>
    <t>Aide à la compréhension des données par affichage de concepts, idées et faits via des représentations graphiques.</t>
  </si>
  <si>
    <t>condensation et encapsulage des caractéristiques de données, facilitant la découverte d’opportunités, l’identification de risques, l’analyse de tendances et la prise de décision efficace</t>
  </si>
  <si>
    <t>Gestion des livraisons</t>
  </si>
  <si>
    <t>Garantir la réussite de la fourniture de produits et services nouveaux ou actualisés grâce à un leadership et une collaboration efficaces dans le cadre de cycles de livraison définis.</t>
  </si>
  <si>
    <t>communiquer avec les parties prenantes techniques et non techniques, utiliser des techniques visuelles pour suivre les progrès et en rendre compte</t>
  </si>
  <si>
    <t>gérer et hiérarchiser les tâches, planifier les livraisons et assurer la coordination avec les parties prenantes afin d’aligner les livrables et les étapes</t>
  </si>
  <si>
    <t>sélectionner, adapter et guider les équipes dans l’utilisation d’approches de livraison</t>
  </si>
  <si>
    <t>Opérations d’infrastructure</t>
  </si>
  <si>
    <t>Approvisionnement, déploiement, configuration, exploitation et optimisation de l’infrastructure technologique dans des environnements physiques, virtuels et en nuage.</t>
  </si>
  <si>
    <t>contrôler les performances des infrastructures et leur impact sur l’efficacité, la performance, la sécurité et la durabilité</t>
  </si>
  <si>
    <t>Vente</t>
  </si>
  <si>
    <t>Identification de clients potentiels et travail avec ceux-ci pour identifier les besoins, influencer les décisions d’acquisition et améliorer les opportunités commerciaux futurs.</t>
  </si>
  <si>
    <t>certification et accréditation formelle du système</t>
  </si>
  <si>
    <t>non-répudiation -- empêcher le refus éventuel qu’une action se soit produite en assurant que les données soient fidèles à leur origine.</t>
  </si>
  <si>
    <t>maintenir l’élan de l’exécution grâce à des processus efficaces, y compris le contrôle du changement et la gestion des risques</t>
  </si>
  <si>
    <t>Gestion des identités et des accès</t>
  </si>
  <si>
    <t>Gestion de la provision des services basés sur la technologie pour satisfaire les exigences organisationnelles définies.</t>
  </si>
  <si>
    <t>approbation, préparation, planification et gestion de services nouveaux ou changés</t>
  </si>
  <si>
    <t>Gère la vérification de l’identité et les autorisations d’accès dans les systèmes et environnements de l’organisation.</t>
  </si>
  <si>
    <t>assurer la gouvernance et l’administration des identités pour appliquer les politiques, gérer les identités numériques, y compris les comptes d’utilisateurs, les groupes et les rôles.</t>
  </si>
  <si>
    <t>élicitation et analyse des exigences, tant fonctionnelles que non-fonctionnelles</t>
  </si>
  <si>
    <t>Expérience client</t>
  </si>
  <si>
    <t>Favoriser l’accessibilité et l’inclusion dans les services et les produits.</t>
  </si>
  <si>
    <t>veiller au respect des normes, réglementations et directives pertinentes en matière d’expérience client.</t>
  </si>
  <si>
    <t>Conception graphique</t>
  </si>
  <si>
    <t>Créer et appliquer des concepts visuels pour communiquer des idées, rehausser l’esthétique et améliorer l’expérience de l’utilisateur dans les médias numériques et imprimés.</t>
  </si>
  <si>
    <t>créer des graphiques et des éléments visuels de haute qualité à l’aide de logiciels de conception</t>
  </si>
  <si>
    <t>skill_name</t>
  </si>
  <si>
    <t>skill_cat</t>
  </si>
  <si>
    <t>skill_subcat</t>
  </si>
  <si>
    <t>ACIN</t>
  </si>
  <si>
    <t>Development and implementation</t>
  </si>
  <si>
    <t>ADAP</t>
  </si>
  <si>
    <t>Attributes and Business Skills and Behavioural Factors</t>
  </si>
  <si>
    <t>ADEV</t>
  </si>
  <si>
    <t>ADMN</t>
  </si>
  <si>
    <t>Relationships and engagement</t>
  </si>
  <si>
    <t>AIDE</t>
  </si>
  <si>
    <t>Strategy and architecture</t>
  </si>
  <si>
    <t>ANCC</t>
  </si>
  <si>
    <t>Delivery and operation</t>
  </si>
  <si>
    <t>ARCH</t>
  </si>
  <si>
    <t>ASMG</t>
  </si>
  <si>
    <t>ASUP</t>
  </si>
  <si>
    <t>AUDT</t>
  </si>
  <si>
    <t>Audit</t>
  </si>
  <si>
    <t>AUTO</t>
  </si>
  <si>
    <t>AVMT</t>
  </si>
  <si>
    <t>BENM</t>
  </si>
  <si>
    <t>BIDM</t>
  </si>
  <si>
    <t>BINT</t>
  </si>
  <si>
    <t>BPRE</t>
  </si>
  <si>
    <t>Change and transformation</t>
  </si>
  <si>
    <t>BPTS</t>
  </si>
  <si>
    <t>BRMG</t>
  </si>
  <si>
    <t>Marketing</t>
  </si>
  <si>
    <t>BSMO</t>
  </si>
  <si>
    <t>BUDF</t>
  </si>
  <si>
    <t>BURM</t>
  </si>
  <si>
    <t>BUSA</t>
  </si>
  <si>
    <t>CELO</t>
  </si>
  <si>
    <t>CEXP</t>
  </si>
  <si>
    <t>CFMG</t>
  </si>
  <si>
    <t>CHMG</t>
  </si>
  <si>
    <t>CIPM</t>
  </si>
  <si>
    <t>CNSL</t>
  </si>
  <si>
    <t>COLL</t>
  </si>
  <si>
    <t>Collaboration</t>
  </si>
  <si>
    <t>COMG</t>
  </si>
  <si>
    <t>COMM</t>
  </si>
  <si>
    <t>Communication</t>
  </si>
  <si>
    <t>COMP</t>
  </si>
  <si>
    <t>COPL</t>
  </si>
  <si>
    <t>CPMG</t>
  </si>
  <si>
    <t>CRIM</t>
  </si>
  <si>
    <t>CRTY</t>
  </si>
  <si>
    <t>CSMG</t>
  </si>
  <si>
    <t>CSOP</t>
  </si>
  <si>
    <t>People and skills</t>
  </si>
  <si>
    <t>DAAN</t>
  </si>
  <si>
    <t>DATM</t>
  </si>
  <si>
    <t>DATS</t>
  </si>
  <si>
    <t>DBAD</t>
  </si>
  <si>
    <t>DBDS</t>
  </si>
  <si>
    <t>DCMA</t>
  </si>
  <si>
    <t>DECM</t>
  </si>
  <si>
    <t>DEMG</t>
  </si>
  <si>
    <t>DEMM</t>
  </si>
  <si>
    <t>DENG</t>
  </si>
  <si>
    <t>DEPL</t>
  </si>
  <si>
    <t>DESN</t>
  </si>
  <si>
    <t>DGFS</t>
  </si>
  <si>
    <t>DIGI</t>
  </si>
  <si>
    <t>DIGM</t>
  </si>
  <si>
    <t>DLMG</t>
  </si>
  <si>
    <t>DTAN</t>
  </si>
  <si>
    <t>EEXP</t>
  </si>
  <si>
    <t>EMRG</t>
  </si>
  <si>
    <t>ETDL</t>
  </si>
  <si>
    <t>ETMG</t>
  </si>
  <si>
    <t>FEAS</t>
  </si>
  <si>
    <t>FIAN</t>
  </si>
  <si>
    <t>FMIT</t>
  </si>
  <si>
    <t>GOVN</t>
  </si>
  <si>
    <t>GRDN</t>
  </si>
  <si>
    <t>HCEV</t>
  </si>
  <si>
    <t>HPCC</t>
  </si>
  <si>
    <t>HSIN</t>
  </si>
  <si>
    <t>HWDE</t>
  </si>
  <si>
    <t>IAMT</t>
  </si>
  <si>
    <t>ICPM</t>
  </si>
  <si>
    <t>IFDN</t>
  </si>
  <si>
    <t>IMPM</t>
  </si>
  <si>
    <t>INAS</t>
  </si>
  <si>
    <t>INCA</t>
  </si>
  <si>
    <t>INFL</t>
  </si>
  <si>
    <t>Influence</t>
  </si>
  <si>
    <t>INOV</t>
  </si>
  <si>
    <t>INVA</t>
  </si>
  <si>
    <t>IRMG</t>
  </si>
  <si>
    <t>ISCO</t>
  </si>
  <si>
    <t>ITCM</t>
  </si>
  <si>
    <t>ITMG</t>
  </si>
  <si>
    <t>ITOP</t>
  </si>
  <si>
    <t>ITSP</t>
  </si>
  <si>
    <t>JADN</t>
  </si>
  <si>
    <t>KNGE</t>
  </si>
  <si>
    <t>KNOW</t>
  </si>
  <si>
    <t>LADV</t>
  </si>
  <si>
    <t>LEAD</t>
  </si>
  <si>
    <t>Leadership</t>
  </si>
  <si>
    <t>LEDA</t>
  </si>
  <si>
    <t>MEAS</t>
  </si>
  <si>
    <t>METL</t>
  </si>
  <si>
    <t>MKCM</t>
  </si>
  <si>
    <t>MKTG</t>
  </si>
  <si>
    <t>MLNG</t>
  </si>
  <si>
    <t>MRCH</t>
  </si>
  <si>
    <t>NFTS</t>
  </si>
  <si>
    <t>NTAS</t>
  </si>
  <si>
    <t>NTDS</t>
  </si>
  <si>
    <t>NUAN</t>
  </si>
  <si>
    <t>OCDV</t>
  </si>
  <si>
    <t>OCEN</t>
  </si>
  <si>
    <t>OCOP</t>
  </si>
  <si>
    <t>OFCL</t>
  </si>
  <si>
    <t>ORDI</t>
  </si>
  <si>
    <t>PBMG</t>
  </si>
  <si>
    <t>PDSV</t>
  </si>
  <si>
    <t>PEDP</t>
  </si>
  <si>
    <t>PEMT</t>
  </si>
  <si>
    <t>PENT</t>
  </si>
  <si>
    <t>PGMG</t>
  </si>
  <si>
    <t>PLAN</t>
  </si>
  <si>
    <t>POMG</t>
  </si>
  <si>
    <t>PORT</t>
  </si>
  <si>
    <t>PRMG</t>
  </si>
  <si>
    <t>PROB</t>
  </si>
  <si>
    <t>PROD</t>
  </si>
  <si>
    <t>PROF</t>
  </si>
  <si>
    <t>PROG</t>
  </si>
  <si>
    <t>PRTS</t>
  </si>
  <si>
    <t>QUAS</t>
  </si>
  <si>
    <t>QUMG</t>
  </si>
  <si>
    <t>RELM</t>
  </si>
  <si>
    <t>REQM</t>
  </si>
  <si>
    <t>RESC</t>
  </si>
  <si>
    <t>RESD</t>
  </si>
  <si>
    <t>RFEN</t>
  </si>
  <si>
    <t>RLMT</t>
  </si>
  <si>
    <t>RMGT</t>
  </si>
  <si>
    <t>RSCH</t>
  </si>
  <si>
    <t>SALE</t>
  </si>
  <si>
    <t>SCAD</t>
  </si>
  <si>
    <t>SCMG</t>
  </si>
  <si>
    <t>SCMO</t>
  </si>
  <si>
    <t>SCPE</t>
  </si>
  <si>
    <t>SCTY</t>
  </si>
  <si>
    <t>SEAC</t>
  </si>
  <si>
    <t>SFAS</t>
  </si>
  <si>
    <t>SFEN</t>
  </si>
  <si>
    <t>SINT</t>
  </si>
  <si>
    <t>SLEN</t>
  </si>
  <si>
    <t>SLMO</t>
  </si>
  <si>
    <t>SORC</t>
  </si>
  <si>
    <t>SSUP</t>
  </si>
  <si>
    <t>STMG</t>
  </si>
  <si>
    <t>STPL</t>
  </si>
  <si>
    <t>SUBF</t>
  </si>
  <si>
    <t>SUPP</t>
  </si>
  <si>
    <t>SUST</t>
  </si>
  <si>
    <t>SWDN</t>
  </si>
  <si>
    <t>SYSP</t>
  </si>
  <si>
    <t>TEAC</t>
  </si>
  <si>
    <t>TECH</t>
  </si>
  <si>
    <t>TEST</t>
  </si>
  <si>
    <t>THIN</t>
  </si>
  <si>
    <t>TMCR</t>
  </si>
  <si>
    <t>UNAN</t>
  </si>
  <si>
    <t>URCH</t>
  </si>
  <si>
    <t>USEV</t>
  </si>
  <si>
    <t>USUP</t>
  </si>
  <si>
    <t>VISL</t>
  </si>
  <si>
    <t>VUAS</t>
  </si>
  <si>
    <t>VURE</t>
  </si>
  <si>
    <t>WFPL</t>
  </si>
  <si>
    <t>b22222</t>
  </si>
  <si>
    <t>#006400</t>
  </si>
  <si>
    <t>#191970</t>
  </si>
  <si>
    <t>#b8860b</t>
  </si>
  <si>
    <t>#9400d3</t>
  </si>
  <si>
    <t>#8b4513</t>
  </si>
  <si>
    <t>#de324c</t>
  </si>
  <si>
    <t>#f4895f</t>
  </si>
  <si>
    <t>#369acc</t>
  </si>
  <si>
    <t>#95cf92</t>
  </si>
  <si>
    <t>#f8e16f</t>
  </si>
  <si>
    <t>#ec111a</t>
  </si>
  <si>
    <t>#fb6330</t>
  </si>
  <si>
    <t>#ffd42f</t>
  </si>
  <si>
    <t>#138468</t>
  </si>
  <si>
    <t>#009dd6</t>
  </si>
  <si>
    <t>#7849b8</t>
  </si>
  <si>
    <t>compétence</t>
  </si>
  <si>
    <t>description</t>
  </si>
  <si>
    <t>code</t>
  </si>
  <si>
    <t>priorité</t>
  </si>
  <si>
    <t>collecte, traitement et analyse de données provenant de différentes sources</t>
  </si>
  <si>
    <t>identifier les tendances, les modèles et les idées en utilisant une série de techniques analytiques et statistiques</t>
  </si>
  <si>
    <t>implémentation de pratiques de gestion des données pour services cloud</t>
  </si>
  <si>
    <t>intégration de données provenant de sources multiples pour prendre en charge les pipelines de données et permettre des opérations supplémentaires sur les données.</t>
  </si>
  <si>
    <t>intégrer les services en nuage dans la conception de l’infrastructure.</t>
  </si>
  <si>
    <t>évaluation des modèles en termes de performance, de robustesse, d’équité et de partialité, et la sélection de mesures pour évaluer les résultats</t>
  </si>
  <si>
    <t>gérer les MLOps pour le déploiement, le suivi et la gestion du cycle de vie des modèles</t>
  </si>
  <si>
    <t>préparer les données pour l’apprentissage automatique, y compris le nettoyage, la transformation et l’ingénierie des caractéristiques</t>
  </si>
  <si>
    <t>établissement de méthodes de collecte et d’analyse de données, y compris l’automatisation</t>
  </si>
  <si>
    <t>Gestion du stockage</t>
  </si>
  <si>
    <t>Approvisionnement, configuration et optimisation des solutions de stockage sur site et en nuage, en assurant la disponibilité des données, la sécurité et l’alignement sur les objectifs de l’entreprise.</t>
  </si>
  <si>
    <t>évaluer, approvisionner et tester de nouvelles solutions de stockage, y compris le stockage en nuage</t>
  </si>
  <si>
    <t>élaboration et la validation de modèles prédictifs</t>
  </si>
  <si>
    <t>gérer les données sous toutes leurs formes, en veillant à ce qu’elles soient conformes aux objectifs de l’entreprise et aux exigences réglementaires</t>
  </si>
  <si>
    <t>amélioration de la recherche de données</t>
  </si>
  <si>
    <t>présentation des résultats et constatations des données de manière créative pour faciliter la compréhension des données auprès d’un éventail de publics techniques et non techniques.</t>
  </si>
  <si>
    <t>contrôle et optimisation des performances et de la capacité de stockage</t>
  </si>
  <si>
    <t>Intégration et construction de systèmes</t>
  </si>
  <si>
    <t>Planification, mise en œuvre et contrôle des activités visant à intégrer des éléments de système, des sous-systèmes et des interfaces afin de créer des systèmes, des produits ou des services opérationnels.</t>
  </si>
  <si>
    <t>création et exploitation d’une capacité d’intégration continue (CI) au besoin en utilisant le contrôle de version du code source et des artefacts connexes</t>
  </si>
  <si>
    <t>faciliter l’ingénierie, intégration et inter-opérabilité des données</t>
  </si>
  <si>
    <t>intégration et nettoyage des données pour les adapter aux besoins</t>
  </si>
  <si>
    <t>sourçage et préparation des données pour analyse</t>
  </si>
  <si>
    <t>procéder à des examens, faciliter l’amélioration continue et contrôler la qualité et les performances</t>
  </si>
  <si>
    <t>gestion du stockage dans les environnements hybrides et multiclouds</t>
  </si>
  <si>
    <t>résolution des problèmes potentiels et réels liés au stockage</t>
  </si>
  <si>
    <t>développement de scénarios histoires utilisateurs ou exigences pour décrire les fonctionnalités ou les capacités</t>
  </si>
  <si>
    <t>analyser les résultats afin d’identifier des modèles, d’évaluer la qualité et de suggérer des améliorations du système et des tests.</t>
  </si>
  <si>
    <t>gérer, exécuter et automatiser les tests, y compris les tests de régression et les tests de fumée, afin d’améliorer l’efficacité et la couverture.</t>
  </si>
  <si>
    <t>utilisation de principes éthique dans la manipulation des données.</t>
  </si>
  <si>
    <t>aide les organisations à comprendre leurs acquis de données, à développer des systèmes logiciels et à mapper les relations entre entités dans la vie réelle</t>
  </si>
  <si>
    <t>élaborer des récits et des histoires autour des données pour améliorer la compréhension et soutenir la prise de décision.</t>
  </si>
  <si>
    <t>assurer la disponibilité, la performance et la sécurité des composants déployés</t>
  </si>
  <si>
    <t>approvisionnement et adaptation des composants de l’infrastructure pour répondre aux besoins changeants des utilisateurs et des fournisseurs de services</t>
  </si>
  <si>
    <t>élaboration et mise à jour d’outils et de procédures pour le dépannage et l’analyse du stockage</t>
  </si>
  <si>
    <t>développer des méthodes innovantes de gestion des données</t>
  </si>
  <si>
    <t>développer et maintenir des tests automatisés et des cadres évolutifs et fiables afin de valider les fonctionnalités critiques et d’assurer une qualité continue.</t>
  </si>
  <si>
    <t>identifier et atténuer les risques dans les infrastructures et les applications.</t>
  </si>
  <si>
    <t>Conception de réseaux</t>
  </si>
  <si>
    <t>Concevoir des réseaux de communication pour répondre aux besoins des entreprises, en garantissant l’évolutivité, la fiabilité, la sécurité et l’alignement sur les objectifs stratégiques.</t>
  </si>
  <si>
    <t>concevoir des solutions de reprise après sinistre et de continuité des activités pour assurer la résilience du réseau et minimiser les temps d’arrêt</t>
  </si>
  <si>
    <t>sauvegarde, archivage et récupération de données</t>
  </si>
  <si>
    <t>Validation des systèmes, produits ou services par rapport aux objectifs, mesures et cibles de l’expérience utilisateur.</t>
  </si>
  <si>
    <t>assurance que les scénarios utilisateurs ou exigences ont été respectées et les pratiques requises suivies pour traiter l’accessibilité, la convivialité, la sécurité, la santé et la sécurité</t>
  </si>
  <si>
    <t>compréhension et spécification d’expérience utilisateur et exigences d’accessibilité pour tous les utilisateurs potentiels.</t>
  </si>
  <si>
    <t>garantir la responsabilité et le respect des lois et des normes applicables</t>
  </si>
  <si>
    <t>création et description d’avatars pour représenter les principaux segments d’utilisateurs</t>
  </si>
  <si>
    <t>Pérennité</t>
  </si>
  <si>
    <t>Conseiller et diriger des initiatives en matière de pérennité afin de réduire l’impact sur l’environnement et d’assurer la conformité avec les normes et réglementations pertinentes.</t>
  </si>
  <si>
    <t>Gestion de la disponibilité</t>
  </si>
  <si>
    <t>Veiller à ce que les services offrent les niveaux de disponibilité convenus pour répondre aux besoins actuels et futurs de l’entreprise.</t>
  </si>
  <si>
    <t>Support réseau</t>
  </si>
  <si>
    <t>Fourniture de services de maintenance et de support pour réseaux de communication.</t>
  </si>
  <si>
    <t>Installation et désinstallation de systèmes</t>
  </si>
  <si>
    <t>Installation et test, ou démantèlement et retrait, de systèmes ou composants de système.</t>
  </si>
  <si>
    <t>Budget et prévisions</t>
  </si>
  <si>
    <t>Élaborer et gérer des budgets et des prévisions financières afin de permettre une prise de décision et une affectation des ressources efficaces.</t>
  </si>
  <si>
    <t>Administration des logiciels de système</t>
  </si>
  <si>
    <t>Installer, gérer et entretenir des systèmes d’exploitation, des logiciels de gestion de données, de bureautique et des logiciels utilitaires dans divers environnements d’infrastructure.</t>
  </si>
  <si>
    <t>Gestion des avantages</t>
  </si>
  <si>
    <t>Prévision, planification et surveillance de l’émergence et réalisation effective d’avantages attendus des projets et programmes.</t>
  </si>
  <si>
    <t>Analyse situationnelle d’entreprise</t>
  </si>
  <si>
    <t>Enquête des situations commerciales pour définir des recommandations d’action d’amélioration.</t>
  </si>
  <si>
    <t>Intelligence artificielle (IA) et éthique des données</t>
  </si>
  <si>
    <t>Mettre en œuvre et promouvoir des pratiques éthiques dans la conception, le développement, le déploiement et l’utilisation de l’IA et des technologies de données.</t>
  </si>
  <si>
    <t>Accessibilité et inclusion</t>
  </si>
  <si>
    <t>Développement et mise en œuvre</t>
  </si>
  <si>
    <t>Conception centrée sur l’utilisateur</t>
  </si>
  <si>
    <t>Adaptabilité</t>
  </si>
  <si>
    <t>Attributs et Compétences Business et Facteurs Comportementaux</t>
  </si>
  <si>
    <t>Compétences Business et Facteurs Comportementaux</t>
  </si>
  <si>
    <t>S’adapter au changement et persister à relever les défis au niveau personnel, de l’équipe et de l’organisation.</t>
  </si>
  <si>
    <t>Développement d'animation</t>
  </si>
  <si>
    <t>Développement de systèmes</t>
  </si>
  <si>
    <t>Concevoir et développer des systèmes animés et interactifs tels que des jeux, des simulations et des environnements virtuels.</t>
  </si>
  <si>
    <t>Administration d’entreprise</t>
  </si>
  <si>
    <t>Relations et engagement</t>
  </si>
  <si>
    <t>Gestion des Intervenants</t>
  </si>
  <si>
    <t>Gestion et exécution des services et des tâches administratives pour permettre aux individus, aux équipes et aux organisations de réussir leurs objectifs.</t>
  </si>
  <si>
    <t>Stratégie et architecture</t>
  </si>
  <si>
    <t>Gouvernance, risque et conformité</t>
  </si>
  <si>
    <t>Classification analytique et codification</t>
  </si>
  <si>
    <t>Livraison et exploitation</t>
  </si>
  <si>
    <t>Opérations sur les données et les enregistrements</t>
  </si>
  <si>
    <t>Interpréter les informations et attribuer des classifications ou des étiquettes sur la base de connaissances, de normes et de lignes directrices spécifiques à un domaine afin de permettre l’analyse et l’utilisation des données.</t>
  </si>
  <si>
    <t>Architecture de solution</t>
  </si>
  <si>
    <t>Stratégie et planification</t>
  </si>
  <si>
    <t>Développement et communication d’une architecture multi-dimensionnelle de solution pour livrer des résultats commerciaux acceptés.</t>
  </si>
  <si>
    <t>Gestion de services</t>
  </si>
  <si>
    <t>Support applicatif</t>
  </si>
  <si>
    <t>Gestion technologique</t>
  </si>
  <si>
    <t>Fourniture de services de gestion, techniques et administratifs pour soutenir et maintenir les applications en direct.</t>
  </si>
  <si>
    <t>Évaluations indépendantes, sur base des risques, de l’efficacité des processus, des contrôles et de l’environnement de conformité d’une organisation.</t>
  </si>
  <si>
    <t>Autonomie</t>
  </si>
  <si>
    <t>Attributs</t>
  </si>
  <si>
    <t>Le niveau d’indépendance, de discrétion et de responsabilité à l’égard des résultats dans votre rôle.</t>
  </si>
  <si>
    <t>Gestion des finances et de la valeur</t>
  </si>
  <si>
    <t>Gestion des appels d’offres/propositions</t>
  </si>
  <si>
    <t>Gestion des ventes et des offres</t>
  </si>
  <si>
    <t>Gérer la préparation et la soumission d’offres et de propositions pour des contrats, des subventions, des projets ou des services.</t>
  </si>
  <si>
    <t>Informatique décisionnelle</t>
  </si>
  <si>
    <t>Données et analytique</t>
  </si>
  <si>
    <t>Développement, production et diffusion d’informations de gestion régulières et ponctuelles pour fournir des révélations et aider à la prise de décision.</t>
  </si>
  <si>
    <t>Changement et transformation</t>
  </si>
  <si>
    <t>Planification du changement</t>
  </si>
  <si>
    <t>Tests d’acceptation par l’utilisateur</t>
  </si>
  <si>
    <t>Analyse du changement</t>
  </si>
  <si>
    <t>Validation de systèmes, produits, processus commerciaux ou services pour déterminer si les critères d’acceptation sont satisfaits.</t>
  </si>
  <si>
    <t>Gestion de la marque</t>
  </si>
  <si>
    <t>Gérer la stratégie de marque afin d’établir et de renforcer l’identité et la valeur de la marque en fonction des objectifs de l’organisation.</t>
  </si>
  <si>
    <t>Modélisation d’entreprise</t>
  </si>
  <si>
    <t>Création de modèles abstraits ou distillés de scénarios d’entreprise, représentant les processus, les données et les rôles afin de soutenir la prise de décision et l’analyse.</t>
  </si>
  <si>
    <t>Engagement et fidélisation des clients</t>
  </si>
  <si>
    <t>Élaborer et mettre en œuvre des stratégies visant à attirer, engager et fidéliser les clients au moyen de communications ciblées et d’initiatives de fidélisation.</t>
  </si>
  <si>
    <t>Gestion de configuration</t>
  </si>
  <si>
    <t>Planification, identification, contrôle, comptabilisation et audit des éléments de configuration («Configuration Items», CI) et leurs interrelations.</t>
  </si>
  <si>
    <t>Contrôle du changement</t>
  </si>
  <si>
    <t>Évaluation des risques associés aux changements proposés et assurance que les changements apportés aux produits, services ou systèmes soient contrôlés et coordonnés.</t>
  </si>
  <si>
    <t>Gestion du changement organisationnel</t>
  </si>
  <si>
    <t>Planification, conception et mise en œuvre d’activités pour transiter l’organisation et les personnes à l’état futur requis.</t>
  </si>
  <si>
    <t>Consultance</t>
  </si>
  <si>
    <t>Avis et conseils</t>
  </si>
  <si>
    <t>Fourniture d’avis et de recommandations, basés sur l’expertise et l’expérience pour adresser les besoins clients.</t>
  </si>
  <si>
    <t>Travailler efficacement avec les autres, partager les ressources et coordonner les efforts pour atteindre les objectifs communs.</t>
  </si>
  <si>
    <t>Gestion des coûts</t>
  </si>
  <si>
    <t>Planifier, contrôler et analyser les coûts pour permettre une utilisation efficace des ressources financières.</t>
  </si>
  <si>
    <t>Échanger clairement des informations, des idées et des points de vue afin de permettre une compréhension et une coopération mutuelles.</t>
  </si>
  <si>
    <t>Complexité</t>
  </si>
  <si>
    <t>L’étendue et la complexité des tâches et des responsabilités liées à votre rôle.</t>
  </si>
  <si>
    <t>Gestion de la continuité</t>
  </si>
  <si>
    <t>Développement, implémentation et test d’un cadre de continuité commerciale.</t>
  </si>
  <si>
    <t>Gestion des capacités</t>
  </si>
  <si>
    <t>Veiller à ce que les composantes du service aient la capacité et les performances nécessaires pour répondre aux besoins actuels et prévus de l’entreprise.</t>
  </si>
  <si>
    <t>Enquête sur la cybercriminalité</t>
  </si>
  <si>
    <t>Services de sécurité</t>
  </si>
  <si>
    <t>Enquêter sur les cybercrimes, recueillir des preuves, déterminer l’impact des incidents et collaborer avec les équipes juridiques pour protéger les actifs numériques.</t>
  </si>
  <si>
    <t>Créativité</t>
  </si>
  <si>
    <t>Générer et appliquer des idées novatrices pour améliorer les processus, résoudre les problèmes et favoriser la réussite de l’organisation.</t>
  </si>
  <si>
    <t>Support du service client</t>
  </si>
  <si>
    <t>Gestion et exploitation des fonctions de service à la clientèle ou de centre de services.</t>
  </si>
  <si>
    <t>Opération du schéma de certification</t>
  </si>
  <si>
    <t>Personnes et compétences</t>
  </si>
  <si>
    <t>Gestion des aptitudes</t>
  </si>
  <si>
    <t>Conception, développement et exploitation de programmes de certification, accréditations et références, y compris des références ou badges numériques.</t>
  </si>
  <si>
    <t>Administration des bases de données</t>
  </si>
  <si>
    <t>Installer, configurer, surveiller et maintenir les bases de données et les magasins de données, en garantissant les performances et la sécurité et en s’adaptant à l’évolution des technologies.</t>
  </si>
  <si>
    <t>Conception de bases de données</t>
  </si>
  <si>
    <t>Spécifier, concevoir et maintenir des mécanismes de stockage et d’accès aux données dans divers environnements et plateformes.</t>
  </si>
  <si>
    <t>Gestion des installations</t>
  </si>
  <si>
    <t>Planification, conception et gestion de l’immobilier, espace et installations qui, collectivement, composent le parc informatique.</t>
  </si>
  <si>
    <t>Prise de décision</t>
  </si>
  <si>
    <t>Faire preuve d’esprit critique pour évaluer les options, les risques et choisir le plan d’action le plus approprié.</t>
  </si>
  <si>
    <t>Implémentation de changements</t>
  </si>
  <si>
    <t>Gestion de la demande</t>
  </si>
  <si>
    <t>Analyse et gestion proactive des demandes commerciaux pour de nouveaux services ou modifications de caractéristiques ou volume de services existants.</t>
  </si>
  <si>
    <t>Ingénierie de données</t>
  </si>
  <si>
    <t>Conception, construction, opérationnalisation, sécurisation et surveillance de pipelines de données, de magasins et de systèmes de traitement en temps réel pour une gestion des données évolutive et fiable.</t>
  </si>
  <si>
    <t>Conception de systèmes</t>
  </si>
  <si>
    <t>Conception de systèmes pour satisfaire les exigences et architectures systèmes convenus.</t>
  </si>
  <si>
    <t>Analyse criminalistique numérique</t>
  </si>
  <si>
    <t>Recouvrement et investigation de matériel trouvé sur des appareils digitaux.</t>
  </si>
  <si>
    <t>L’état d’esprit numérique</t>
  </si>
  <si>
    <t>Adopter et utiliser efficacement les outils et technologies numériques pour améliorer la performance et la productivité.</t>
  </si>
  <si>
    <t>Marketing numérique</t>
  </si>
  <si>
    <t>Planifier et exécuter des activités visant à promouvoir des produits, des services et des marques par le biais de canaux et de technologies numériques.</t>
  </si>
  <si>
    <t>Gestion du développement des systèmes</t>
  </si>
  <si>
    <t>Planification, estimation et exécution du travail de développement de systèmes dans les objectifs de durée, budget et qualité.</t>
  </si>
  <si>
    <t>Expérience employé</t>
  </si>
  <si>
    <t>Gestion des ressources humaines</t>
  </si>
  <si>
    <t>Amélioration de l’engagement des employés et méthodes de travail, responsabilisation des employés et soutient de leur santé et bien-être.</t>
  </si>
  <si>
    <t>Suivi des technologies émergentes</t>
  </si>
  <si>
    <t>Identification et évaluation de technologies, produits, services, méthodes et techniques nouveaux et émergents.</t>
  </si>
  <si>
    <t>Prestation de formations</t>
  </si>
  <si>
    <t>Transfert de connaissances, développement d’aptitudes et changement de comportement utilisant divers techniques, ressources et médias.</t>
  </si>
  <si>
    <t>Gestion des formations et du développement</t>
  </si>
  <si>
    <t>Mise à disposition de services de gestion, conseil et administration pour soutenir le développement des connaissances, aptitudes et compétences.</t>
  </si>
  <si>
    <t>Évaluation de faisabilité</t>
  </si>
  <si>
    <t>Définition, évaluation et description d’options de changement commercial pour faisabilité financière, technique et commerciale et alignement stratégique.</t>
  </si>
  <si>
    <t>Analyse financière</t>
  </si>
  <si>
    <t>Effectuer une analyse approfondie des données financières afin d’en tirer des enseignements et de soutenir la prise de décision.</t>
  </si>
  <si>
    <t>Gestion financière</t>
  </si>
  <si>
    <t>Gérer l’utilisation et le contrôle efficaces des ressources financières pour soutenir les stratégies commerciales, la conformité et la mitigation des risques.</t>
  </si>
  <si>
    <t>Gouvernance</t>
  </si>
  <si>
    <t>Définir et exploiter des cadres pour la prise de décision, la gestion des risques, les relations avec les parties prenantes et le respect des obligations organisationnelles et réglementaires.</t>
  </si>
  <si>
    <t>Gestion du contenu</t>
  </si>
  <si>
    <t>Calcul de haute performance</t>
  </si>
  <si>
    <t>Science informatique</t>
  </si>
  <si>
    <t>Utilisation de systèmes informatiques avancés et de techniques de programmation spéciales pour résoudre des problèmes de calcul complexes.</t>
  </si>
  <si>
    <t>Conception matérielle</t>
  </si>
  <si>
    <t>Spécifier et concevoir des systèmes et des composants matériels pour répondre à des exigences définies en suivant des principes et des normes de conception convenus.</t>
  </si>
  <si>
    <t>Publication de contenu</t>
  </si>
  <si>
    <t>Gérer les processus de collecte, d’assemblage et de publication de contenu sur différents canaux afin de répondre aux besoins de l’organisation et du public.</t>
  </si>
  <si>
    <t>Amélioration de l'état d'esprit</t>
  </si>
  <si>
    <t>Identifier en permanence les possibilités d’améliorer les pratiques de travail, les processus, les produits ou les services en vue d’une plus grande efficacité et d’un meilleur impact.</t>
  </si>
  <si>
    <t>Sécurité et confidentialité</t>
  </si>
  <si>
    <t>Conception et rédaction de contenu</t>
  </si>
  <si>
    <t>Planification, conception et création de contenus répondant aux besoins des utilisateurs et de l’organisation, comprenant des informations textuelles, des contenus graphiques et des éléments multimédias.</t>
  </si>
  <si>
    <t>La portée et l’impact de vos décisions et actions, tant à l’intérieur qu’à l’extérieur de l’organisation.</t>
  </si>
  <si>
    <t>Gestion de l’innovation</t>
  </si>
  <si>
    <t>Identification, priorisation, incubation et exploitation des opportunités fournies par les technologies d’information, communication et numériques.</t>
  </si>
  <si>
    <t>Évaluation d’investissement</t>
  </si>
  <si>
    <t>Évaluation de l’attractivité de projets ou investissements potentiels.</t>
  </si>
  <si>
    <t>Gestion de l’information</t>
  </si>
  <si>
    <t>Permettre une gestion et une utilisation efficaces des actifs informationnels.</t>
  </si>
  <si>
    <t>Coordination des systèmes d’information</t>
  </si>
  <si>
    <t>Coordination de stratégies d’information et de technologie lorsqu’une approche commune bénéficierait l’organisation.</t>
  </si>
  <si>
    <t>Gestion contractuelle</t>
  </si>
  <si>
    <t>Gérer et exploiter des contrats formels, répondre aux besoins des fournisseurs et des clients en matière de fourniture de produits et de services.</t>
  </si>
  <si>
    <t>Gestion des services technologiques</t>
  </si>
  <si>
    <t>Planification stratégique</t>
  </si>
  <si>
    <t>Créer et maintenir des stratégies au niveau de l’organisation afin d’aligner les plans d’activités, les actions et les ressources sur les objectifs de haut niveau de l’entreprise.</t>
  </si>
  <si>
    <t>Analyse et conception des emplois</t>
  </si>
  <si>
    <t>Planifie, analyse et conçoit les rôles et les structures des emplois pour les aligner sur les exigences, les objectifs et la culture de l’organisation.</t>
  </si>
  <si>
    <t>Connaissances</t>
  </si>
  <si>
    <t>La profondeur et l’étendue de la compréhension nécessaire pour effectuer et influencer le travail de manière efficace.</t>
  </si>
  <si>
    <t>Gestion de la connaissance</t>
  </si>
  <si>
    <t>Saisir, développer et exploiter systématiquement les connaissances essentielles pour créer de la valeur et améliorer les performances de l’organisation.</t>
  </si>
  <si>
    <t>Apprentissage et perfectionnement</t>
  </si>
  <si>
    <t>Acquérir en permanence de nouvelles connaissances et compétences afin d’améliorer les performances personnelles et organisationnelles.</t>
  </si>
  <si>
    <t>Guider et influencer les individus ou les équipes afin d’aligner les actions sur les objectifs stratégiques et d’obtenir des résultats positifs.</t>
  </si>
  <si>
    <t>Évaluation des compétences</t>
  </si>
  <si>
    <t>Évaluation des connaissances, aptitudes, compétences et comportements par tous les moyens, formels ou informels, par rapport à des gabarits tels que SFIA.</t>
  </si>
  <si>
    <t>Gestion des campagnes de marketing</t>
  </si>
  <si>
    <t>Exécuter, contrôler et optimiser les campagnes de marketing sur différents canaux afin d’attirer les publics cibles et d’atteindre les résultats souhaités.</t>
  </si>
  <si>
    <t>Gestion du marketing</t>
  </si>
  <si>
    <t>Élaborer, mettre en œuvre et gérer des stratégies et des plans de marketing afin d’atteindre les objectifs de l’organisation et de stimuler la croissance de l’entreprise.</t>
  </si>
  <si>
    <t>Étude de marché</t>
  </si>
  <si>
    <t>Recueillir, analyser et interpréter des données sur les marchés, les clients et les concurrents afin d’éclairer les décisions et les stratégies des entreprises.</t>
  </si>
  <si>
    <t>Analyse numérique</t>
  </si>
  <si>
    <t>Création, analyse, implémentation, test et amélioration d’algorithmes pour résoudre numériquement des problèmes mathématiques.</t>
  </si>
  <si>
    <t>Développement du potentiel organisationnel</t>
  </si>
  <si>
    <t>Leadership, conseil et support à l’implémentation pour évaluation du potentiel organisationnel et l’identification, priorisation et implémentation d’améliorations.</t>
  </si>
  <si>
    <t>Facilitation du changement organisationnel</t>
  </si>
  <si>
    <t>Facilite le changement culturel et comportemental en permettant aux individus et aux équipes d’intégrer de nouvelles méthodes de travail et de s’adapter aux changements.</t>
  </si>
  <si>
    <t>Opérations cybernétiques offensives</t>
  </si>
  <si>
    <t>Planifier, exécuter et gérer des opérations offensives de cybersécurité, y compris la sélection des cibles, les dossiers de cibles électroniques et l’analyse post-opération.</t>
  </si>
  <si>
    <t>Facilitation organisationnelle</t>
  </si>
  <si>
    <t>Soutient aux groupes de travail pour mettre en œuvre les principes et pratiques pour un travail d’équipe efficace au-delà des frontières organisationnelles et spécialités professionnelles.</t>
  </si>
  <si>
    <t>Implémentation et design organisationnels</t>
  </si>
  <si>
    <t>Planification, conception et mise en œuvre d’une structure et d’une culture organisationnelles intégrées.</t>
  </si>
  <si>
    <t>Gestion des problèmes</t>
  </si>
  <si>
    <t>Gestion du cycle de vie de tous les problèmes survenus ou susceptibles de survenir dans le cadre de la fourniture d’un service.</t>
  </si>
  <si>
    <t>Développement professionnel</t>
  </si>
  <si>
    <t>Facilitation du développement professionnel d’individus en fonction de leurs objectifs de carrière et des exigences organisationnelles.</t>
  </si>
  <si>
    <t>Gestion des performances</t>
  </si>
  <si>
    <t>Amélioration de la performance organisationnelle par le développement de la performance d’individus et groupes de travail pour satisfaire des objectifs convenus avec résultats mesurables.</t>
  </si>
  <si>
    <t>Tests de pénétration</t>
  </si>
  <si>
    <t>Test de l’efficacité des contrôles de sécurité par imitation d’outils et techniques d’attaquants potentiels.</t>
  </si>
  <si>
    <t>Gestion de programmes</t>
  </si>
  <si>
    <t>Identification, planification et coordination d’un ensemble de projets et activités connexes en support de stratégies et objectifs commerciaux spécifiques.</t>
  </si>
  <si>
    <t>Planification</t>
  </si>
  <si>
    <t>Adopter une approche systématique de l’organisation des tâches, des ressources et des délais pour atteindre des objectifs définis.</t>
  </si>
  <si>
    <t>Gestion de portefeuille</t>
  </si>
  <si>
    <t>Développement et application d’un cadre de gestion pour définir et livrer un portefeuille de programmes, projets et/ou services en cours.</t>
  </si>
  <si>
    <t>Configuration du logiciel</t>
  </si>
  <si>
    <t>Conception et déploiement de configurations de produits logiciels dans des environnements ou plateformes numériques.</t>
  </si>
  <si>
    <t>Résolution de problèmes</t>
  </si>
  <si>
    <t>Analyser les défis, appliquer des méthodes logiques et élaborer des solutions efficaces pour surmonter les obstacles.</t>
  </si>
  <si>
    <t>Assurance de la qualité</t>
  </si>
  <si>
    <t>Assurance, par revues et évaluations périodiques et continues, que les objectifs qualitatifs de l’organisation soient satisfaits.</t>
  </si>
  <si>
    <t>Gestion de la qualité</t>
  </si>
  <si>
    <t>Définition et opération d’un cadre de gestion des processus et pratiques de travail pour satisfaire les objectifs qualité de l’organisation.</t>
  </si>
  <si>
    <t>Gestion des ressources</t>
  </si>
  <si>
    <t>Acquisition, déploiement et accueil de ressources.</t>
  </si>
  <si>
    <t>Développement de systèmes en temps réel / embarqués</t>
  </si>
  <si>
    <t>Conception et développement de logiciels en temps réel fiables, généralement dans des systèmes embarqués.</t>
  </si>
  <si>
    <t>Ingénierie des radiofréquences</t>
  </si>
  <si>
    <t>Conception, installation et maintenance d’appareils et de logiciels basés sur les radiofréquences.</t>
  </si>
  <si>
    <t>Gestion des relations avec parties prenantes</t>
  </si>
  <si>
    <t>Analyser, gérer et influencer systématiquement les relations avec les parties prenantes afin d’obtenir des résultats mutuellement bénéfiques grâce à un engagement structuré.</t>
  </si>
  <si>
    <t>Gestion des dossiers</t>
  </si>
  <si>
    <t>Planifier, mettre en œuvre et gérer le cycle de vie complet des documents de l’organisation.</t>
  </si>
  <si>
    <t>Recherche formelle</t>
  </si>
  <si>
    <t>Création systématique de nouvelles connaissances par la collecte de données, l’innovation, l’expérimentation, l’évaluation et la dissémination.</t>
  </si>
  <si>
    <t>Gestion du catalogue de services</t>
  </si>
  <si>
    <t>Mise à disposition d’une source d’informations cohérentes sur les services et produits disponibles aux clients et utilisateurs.</t>
  </si>
  <si>
    <t>Modélisation scientifique</t>
  </si>
  <si>
    <t>Application de simulation numériques et autres formes de calcul pour résoudre des problèmes de la vie réelle dans des disciplines scientifiques.</t>
  </si>
  <si>
    <t>Sécurité, confidentialité et éthique</t>
  </si>
  <si>
    <t>Assurer la protection des informations sensibles, respecter la confidentialité des données et des personnes, et faire preuve d’un comportement éthique à l’intérieur et à l’extérieur de l’organisation.</t>
  </si>
  <si>
    <t>Acceptation du service</t>
  </si>
  <si>
    <t>Gestion du processus pour obtenir une confirmation formelle que les critères d’acceptation du service ont été satisfaits.</t>
  </si>
  <si>
    <t>Évaluation de la sécurité</t>
  </si>
  <si>
    <t>Évaluation des systèmes logiciels et matériels liés à la sécurité pour déterminer la conformité aux normes et les niveaux requis d’intégrité de sécurité.</t>
  </si>
  <si>
    <t>Ingénierie de sécurité</t>
  </si>
  <si>
    <t>Mise en œuvre de méthodes appropriées pour assurer la sécurité pendant toutes les phases du cycle de vie de développement de systèmes liés à la sécurité.</t>
  </si>
  <si>
    <t>Ingénierie de cycle de vie système et logiciel</t>
  </si>
  <si>
    <t>Établissement et déploiement d’un environnement pour développer, améliorer continuellement et exploiter en toute sécurité des produits et services logiciels et systèmes.</t>
  </si>
  <si>
    <t>Gestion des niveaux de service</t>
  </si>
  <si>
    <t>Accord sur les objectifs pour les niveaux de service et évaluation, surveillance et gestion de la prestation de services par rapport aux objectifs.</t>
  </si>
  <si>
    <t>Sourçage</t>
  </si>
  <si>
    <t>Gestion ou conseils sur l’approvisionnement ou la mise en service de produits et services.</t>
  </si>
  <si>
    <t>Support à la vente</t>
  </si>
  <si>
    <t>Conseil et accompagnement à la force de vente, clients et partenaires commerciaux.</t>
  </si>
  <si>
    <t>Architecture d'entreprise et commerciale</t>
  </si>
  <si>
    <t>Alignement d’une stratégie technologique organisationnelle à la mission, à la stratégie et aux processus commerciaux et documentation de celle-ci utilisant des modèles architecturaux.</t>
  </si>
  <si>
    <t>Formation de sujet</t>
  </si>
  <si>
    <t>Spécification, conception et développement de curriculums dans un environnement éducatif structuré et systématique.</t>
  </si>
  <si>
    <t>Gestion des fournisseurs</t>
  </si>
  <si>
    <t>Alignement des objectifs et activités de performance de fournisseurs de l’organisation avec les stratégies et plans d’approvisionnement, équilibrant les coûts, l’efficacité et la qualité du service.</t>
  </si>
  <si>
    <t>Conception de logiciels</t>
  </si>
  <si>
    <t>S’occuper de l’architecture et de la conception de logiciels pour répondre aux exigences spécifiées, en veillant au respect des normes et des principes établis.</t>
  </si>
  <si>
    <t>Enseignement</t>
  </si>
  <si>
    <t>Livraison et évaluation de programmes dans un environnement éducatif structuré et systématique.</t>
  </si>
  <si>
    <t>Conseil Spécialiste</t>
  </si>
  <si>
    <t>Fournir des conseils et des orientations professionnels faisant autorité dans un domaine spécialisé.</t>
  </si>
  <si>
    <t>Renseignements sur menaces</t>
  </si>
  <si>
    <t>Développement et partage de compréhension actionnables sur les menaces de sécurité actuelles et potentielles au succès ou à l’intégrité de l’organisation.</t>
  </si>
  <si>
    <t>Conception et développement des formations</t>
  </si>
  <si>
    <t>Conception et développement de ressources pour le transfert de connaissances, développement d’aptitudes et changement de comportement.</t>
  </si>
  <si>
    <t>Recherche utilisateurs</t>
  </si>
  <si>
    <t>Identification des comportements, besoins et motivations des utilisateurs à l’aide de méthodes de recherche par observation.</t>
  </si>
  <si>
    <t>Évaluation d’expérience utilisateur</t>
  </si>
  <si>
    <t>Analyse de vulnérabilité</t>
  </si>
  <si>
    <t>Identification et classement de vulnérabilités de sécurité dans les réseaux, systèmes et applications et mitigation ou élimination de leur impact.</t>
  </si>
  <si>
    <t>Recherche de vulnérabilités</t>
  </si>
  <si>
    <t>Effectue une recherche appliquée pour découvrir, évaluer et mitiger des vulnérabilités et faiblesses de sécurité nouvelles ou inconnues.</t>
  </si>
  <si>
    <t>Planification de la main d’œuvre</t>
  </si>
  <si>
    <t>Prévoir stratégiquement la demande de personnes et de compétences et planifier de manière proactive l’offre de main-d’œuvre pour répondre aux besoins de l’organisation.</t>
  </si>
  <si>
    <t>color_sfia</t>
  </si>
  <si>
    <t>color1</t>
  </si>
  <si>
    <t>color2</t>
  </si>
  <si>
    <t>skill_id</t>
  </si>
  <si>
    <t>FR_skill_name</t>
  </si>
  <si>
    <t>FR_skill_cat</t>
  </si>
  <si>
    <t>FR_skill_subcat</t>
  </si>
  <si>
    <t>FR_skill_descr</t>
  </si>
  <si>
    <t>Accessibility and inclusion</t>
  </si>
  <si>
    <t>User centred design</t>
  </si>
  <si>
    <t>Driving accessibility and inclusion in services and products.</t>
  </si>
  <si>
    <t>Adaptability</t>
  </si>
  <si>
    <t>Business Skills and Behavioural Factors</t>
  </si>
  <si>
    <t>Adjusting to change and persisting through challenges at personal, team and organisational levels.</t>
  </si>
  <si>
    <t>Animation development</t>
  </si>
  <si>
    <t>Systems development</t>
  </si>
  <si>
    <t>Designing and developing animated and interactive systems such as games, simulations and virtual environments.</t>
  </si>
  <si>
    <t>Business administration</t>
  </si>
  <si>
    <t>Stakeholder management</t>
  </si>
  <si>
    <t>Managing and performing administrative services and tasks to enable individuals, teams and organisations to succeed in their objectives.</t>
  </si>
  <si>
    <t>Artificial intelligence (AI) and data ethics</t>
  </si>
  <si>
    <t>Governance, risk and compliance</t>
  </si>
  <si>
    <t>Implementing and promoting ethical practices in the design, development, deployment and use of AI and data technologies.</t>
  </si>
  <si>
    <t>Analytical classification and coding</t>
  </si>
  <si>
    <t>Data and records operations</t>
  </si>
  <si>
    <t>Interpreting information and assigning classifications or labels based on domain-specific knowledge, standards and guidelines to enable data analysis and use.</t>
  </si>
  <si>
    <t>Solution architecture</t>
  </si>
  <si>
    <t>Strategy and planning</t>
  </si>
  <si>
    <t>Developing and communicating a multi-dimensional solution architecture to deliver agreed business outcomes.</t>
  </si>
  <si>
    <t>Asset management</t>
  </si>
  <si>
    <t>Service management</t>
  </si>
  <si>
    <t>Managing the full lifecycle of assets from acquisition, operation, maintenance to disposal.</t>
  </si>
  <si>
    <t>Application support</t>
  </si>
  <si>
    <t>Technology management</t>
  </si>
  <si>
    <t>Delivering management, technical and administrative services to support and maintain live applications.</t>
  </si>
  <si>
    <t>Delivering independent, risk-based assessments of the effectiveness of processes, the controls and the compliance environment of an organisation.</t>
  </si>
  <si>
    <t>Autonomy</t>
  </si>
  <si>
    <t>Attributes</t>
  </si>
  <si>
    <t>The level of independence, discretion and accountability for results in your role.</t>
  </si>
  <si>
    <t>Availability management</t>
  </si>
  <si>
    <t>Ensuring services deliver agreed levels of availability to meet the current and future needs of the business.</t>
  </si>
  <si>
    <t>Benefits management</t>
  </si>
  <si>
    <t>Financial and value management</t>
  </si>
  <si>
    <t>Forecasting, planning and monitoring the emergence and effective realisation of anticipated benefits from projects and programmes.</t>
  </si>
  <si>
    <t>Bid/proposal management</t>
  </si>
  <si>
    <t>Sales and bid management</t>
  </si>
  <si>
    <t>Managing preparation and submission of bids and proposals for contracts, grants, projects, or services.</t>
  </si>
  <si>
    <t>Business intelligence</t>
  </si>
  <si>
    <t>Data and analytics</t>
  </si>
  <si>
    <t>Developing, producing and delivering regular and one-off management information to provide insights and aid decision-making.</t>
  </si>
  <si>
    <t>Business process improvement</t>
  </si>
  <si>
    <t>Change planning</t>
  </si>
  <si>
    <t>Creating new and potentially disruptive approaches to performing business activities.</t>
  </si>
  <si>
    <t>User acceptance testing</t>
  </si>
  <si>
    <t>Change analysis</t>
  </si>
  <si>
    <t>Validating systems, products, business processes or services to determine whether the acceptance criteria have been satisfied.</t>
  </si>
  <si>
    <t>Brand management</t>
  </si>
  <si>
    <t>Managing brand strategy to establish and enhance brand identity and value aligned with organisational goals.</t>
  </si>
  <si>
    <t>Business modelling</t>
  </si>
  <si>
    <t>Creating abstract or distilled models of business scenarios, representing processes, data and roles to support decision-making and analysis.</t>
  </si>
  <si>
    <t>Budgeting and forecasting</t>
  </si>
  <si>
    <t>Developing and managing financial budgets and forecasts to enable effective decision-making and resource allocation.</t>
  </si>
  <si>
    <t>Risk management</t>
  </si>
  <si>
    <t>Planning and implementing processes for managing risk across the enterprise, aligned with organisational strategy and governance frameworks.</t>
  </si>
  <si>
    <t>Business situation analysis</t>
  </si>
  <si>
    <t>Investigating business situations to define recommendations for improvement action.</t>
  </si>
  <si>
    <t>Customer engagement and loyalty</t>
  </si>
  <si>
    <t>Developing and executing strategies to attract, engage and retain customers through targeted communications and loyalty initiatives.</t>
  </si>
  <si>
    <t>Customer experience</t>
  </si>
  <si>
    <t>Ensuring the delivery of high-quality interactions and experiences that meet customer expectations across all touchpoints and channels.</t>
  </si>
  <si>
    <t>Configuration management</t>
  </si>
  <si>
    <t>Planning, identifying, controlling, accounting for and auditing of configuration items (CIs) and their interrelationships.</t>
  </si>
  <si>
    <t>Change control</t>
  </si>
  <si>
    <t>Assessing risks associated with proposed changes and ensuring changes to products, services or systems are controlled and coordinated.</t>
  </si>
  <si>
    <t>Organisational change management</t>
  </si>
  <si>
    <t>Planning, designing and implementing activities to transition the organisation and people to the required future state.</t>
  </si>
  <si>
    <t>Consultancy</t>
  </si>
  <si>
    <t>Advice and guidance</t>
  </si>
  <si>
    <t>Providing advice and recommendations, based on expertise and experience, to address client needs.</t>
  </si>
  <si>
    <t>Working effectively with others, sharing resources and coordinating efforts to achieve shared objectives.</t>
  </si>
  <si>
    <t>Cost management</t>
  </si>
  <si>
    <t>Planning, controlling and analysing costs to enable the effective use of financial resources.</t>
  </si>
  <si>
    <t>Exchanging information, ideas and insights clearly to enable mutual understanding and cooperation.</t>
  </si>
  <si>
    <t>Complexity</t>
  </si>
  <si>
    <t>The range and intricacy of tasks and responsibilities that come with your role.</t>
  </si>
  <si>
    <t>Continuity management</t>
  </si>
  <si>
    <t>Developing, implementing and testing a business continuity framework.</t>
  </si>
  <si>
    <t>Capacity management</t>
  </si>
  <si>
    <t>Ensuring service components have the capacity and performance to meet current and planned business needs.</t>
  </si>
  <si>
    <t>Cybercrime investigation</t>
  </si>
  <si>
    <t>Security services</t>
  </si>
  <si>
    <t>Investigates cybercrimes, collects evidence, determines incident impacts and collaborates with legal teams to protect digital assets.</t>
  </si>
  <si>
    <t>Creativity</t>
  </si>
  <si>
    <t>Generating and applying innovative ideas to enhance processes, solve problems and drive organisational success.</t>
  </si>
  <si>
    <t>Customer service support</t>
  </si>
  <si>
    <t>Managing and operating customer service or service desk functions.</t>
  </si>
  <si>
    <t>Certification scheme operation</t>
  </si>
  <si>
    <t>Skills management</t>
  </si>
  <si>
    <t>Designing, developing and operating certification schemes, accreditations and credentials, including digital credentials or badges.</t>
  </si>
  <si>
    <t>Data analytics</t>
  </si>
  <si>
    <t>Enabling data-driven decision making by extracting, analysing and communicating insights from structured and unstructured data.</t>
  </si>
  <si>
    <t>Data management</t>
  </si>
  <si>
    <t>Developing and implementing plans, policies and practices that control, protect and optimise the value and governance of data assets.</t>
  </si>
  <si>
    <t>Data science</t>
  </si>
  <si>
    <t>Applying mathematics, statistics, data mining and predictive modelling techniques to gain insights, predict behaviours and generate value from data.</t>
  </si>
  <si>
    <t>Database administration</t>
  </si>
  <si>
    <t>Installing, configuring, monitoring, maintaining databases and data stores, ensuring performance and security and adapting to evolving technologies.</t>
  </si>
  <si>
    <t>Database design</t>
  </si>
  <si>
    <t>Specifying, designing and maintaining mechanisms for storing and accessing data across various environments and platforms.</t>
  </si>
  <si>
    <t>Facilities management</t>
  </si>
  <si>
    <t>Planning, designing and managing the buildings, space and facilities which, collectively, make up the IT estate.</t>
  </si>
  <si>
    <t>Decision-making</t>
  </si>
  <si>
    <t>Applying critical thinking to evaluate options, assess risks and select the most appropriate course of action.</t>
  </si>
  <si>
    <t>Delivery management</t>
  </si>
  <si>
    <t>Change implementation</t>
  </si>
  <si>
    <t>Ensuring successful delivery of new or updated products and services through effective leadership and collaboration within defined delivery cycles.</t>
  </si>
  <si>
    <t>Demand management</t>
  </si>
  <si>
    <t>Analysing and proactively managing business demand for new services or modifications to existing service features or volumes.</t>
  </si>
  <si>
    <t>Data engineering</t>
  </si>
  <si>
    <t>Designing, building, operationalising, securing and monitoring data pipelines, stores and real-time processing systems for scalable and reliable data management.</t>
  </si>
  <si>
    <t>Deployment</t>
  </si>
  <si>
    <t>Transitioning software from development to live usage, managing risks and ensuring it works as intended.</t>
  </si>
  <si>
    <t>Systems design</t>
  </si>
  <si>
    <t>Designing systems to meet specified requirements and agreed systems architectures.</t>
  </si>
  <si>
    <t>Digital forensics</t>
  </si>
  <si>
    <t>Recovering and investigating material found in digital devices.</t>
  </si>
  <si>
    <t>Digital mindset</t>
  </si>
  <si>
    <t>Embracing and effectively using digital tools and technologies to enhance performance and productivity.</t>
  </si>
  <si>
    <t>Digital marketing</t>
  </si>
  <si>
    <t>Planning and executing activities to promote products, services and brands through digital channels and technologies.</t>
  </si>
  <si>
    <t>Systems development management</t>
  </si>
  <si>
    <t>Planning, estimating and executing systems development work to time, budget and quality targets.</t>
  </si>
  <si>
    <t>Data modelling and design</t>
  </si>
  <si>
    <t>Developing models and diagrams to represent, communicate and manage data requirements and data assets.</t>
  </si>
  <si>
    <t>Employee experience</t>
  </si>
  <si>
    <t>People management</t>
  </si>
  <si>
    <t>Enhancing employee engagement and ways of working, empowering employees and supporting their health and wellbeing.</t>
  </si>
  <si>
    <t>Emerging technology monitoring</t>
  </si>
  <si>
    <t>Identifying and assessing new and emerging technologies, products, services, methods and techniques.</t>
  </si>
  <si>
    <t>Learning delivery</t>
  </si>
  <si>
    <t>Transferring knowledge, developing skills and changing behaviours using a range of techniques, resources and media.</t>
  </si>
  <si>
    <t>Learning and development management</t>
  </si>
  <si>
    <t>Delivering management, advisory and administrative services to support the development of knowledge, skills and competencies.</t>
  </si>
  <si>
    <t>Feasibility assessment</t>
  </si>
  <si>
    <t>Defining, evaluating and describing business change options for financial, technical and business feasibility and strategic alignment.</t>
  </si>
  <si>
    <t>Financial analysis</t>
  </si>
  <si>
    <t>Conducting in-depth analysis of financial data to derive insights and support decision-making.</t>
  </si>
  <si>
    <t>Financial management</t>
  </si>
  <si>
    <t>Managing the effective use and control of financial resources to support business strategies, compliance and risk mitigation.</t>
  </si>
  <si>
    <t>Governance</t>
  </si>
  <si>
    <t>Defining and operating frameworks for decision-making, risk management, stakeholder relationships and compliance with organisational and regulatory obligations.</t>
  </si>
  <si>
    <t>Graphic design</t>
  </si>
  <si>
    <t>Content management</t>
  </si>
  <si>
    <t>Creating and applying visual concepts to communicate ideas, enhance aesthetics and improve user experience across digital and print media.</t>
  </si>
  <si>
    <t>User experience design</t>
  </si>
  <si>
    <t>Producing design concepts and prototypes for user interactions and experiences of a product, system or service.</t>
  </si>
  <si>
    <t>High-performance computing</t>
  </si>
  <si>
    <t>Computational science</t>
  </si>
  <si>
    <t>Using advanced computer systems and special programming techniques to solve complex computational problems.</t>
  </si>
  <si>
    <t>Systems installation and removal</t>
  </si>
  <si>
    <t>Installing and testing, or decommissioning and removing, systems or system components.</t>
  </si>
  <si>
    <t>Hardware design</t>
  </si>
  <si>
    <t>Specifying and designing hardware systems and components to meet defined requirements by following agreed design principles and standards.</t>
  </si>
  <si>
    <t>Identity and access management</t>
  </si>
  <si>
    <t>Manages identity verification and access permissions within organisational systems and environments.</t>
  </si>
  <si>
    <t>Content publishing</t>
  </si>
  <si>
    <t>Managing processes to collect, assemble and publish content across various channels to meet organisational and audience needs.</t>
  </si>
  <si>
    <t>Infrastructure design</t>
  </si>
  <si>
    <t>Designing technology infrastructure to meet business requirements, ensuring scalability, reliability, security and alignment with strategic objectives.</t>
  </si>
  <si>
    <t>Improvement mindset</t>
  </si>
  <si>
    <t>Continuously identifying opportunities to refine work practices, processes, products, or services for greater efficiency and impact.</t>
  </si>
  <si>
    <t>Information assurance</t>
  </si>
  <si>
    <t>Security and privacy</t>
  </si>
  <si>
    <t>Protecting against and managing risks related to the use, storage and transmission of data and information systems.</t>
  </si>
  <si>
    <t>Content design and authoring</t>
  </si>
  <si>
    <t>Planning, designing and creating content that meets user-centred and organisational needs, encompassing textual information, graphical content and multimedia elements.</t>
  </si>
  <si>
    <t>The reach and impact of your decisions and actions, both within and outside the organisation.</t>
  </si>
  <si>
    <t>Innovation management</t>
  </si>
  <si>
    <t>Identifying, prioritising, incubating and exploiting opportunities provided by information, communication and digital technologies.</t>
  </si>
  <si>
    <t>Investment appraisal</t>
  </si>
  <si>
    <t>Assessing the attractiveness of possible investments or projects.</t>
  </si>
  <si>
    <t>Information management</t>
  </si>
  <si>
    <t>Enabling the effective management and use of information assets.</t>
  </si>
  <si>
    <t>Information systems coordination</t>
  </si>
  <si>
    <t>Coordinating information and technology strategies where the adoption of a common approach would benefit the organisation.</t>
  </si>
  <si>
    <t>Contract management</t>
  </si>
  <si>
    <t>Managing and operating formal contracts, addressing supplier and client needs in product and service provision.</t>
  </si>
  <si>
    <t>Technology service management</t>
  </si>
  <si>
    <t>Managing the provision of technology-based services to meet defined organisational needs.</t>
  </si>
  <si>
    <t>Infrastructure operations</t>
  </si>
  <si>
    <t>Provisioning, deploying, configuring, operating and optimising technology infrastructure across physical, virtual and cloud-based environments.</t>
  </si>
  <si>
    <t>Strategic planning</t>
  </si>
  <si>
    <t>Creating and maintaining organisational-level strategies to align overall business plans, actions and resources with high-level business objectives.</t>
  </si>
  <si>
    <t>Job analysis and design</t>
  </si>
  <si>
    <t>Planning, analysing and designing job roles and structures to align with organisational requirements, goals and culture.</t>
  </si>
  <si>
    <t>Knowledge</t>
  </si>
  <si>
    <t>The depth and breadth of understanding required to perform and influence work effectively.</t>
  </si>
  <si>
    <t>Knowledge management</t>
  </si>
  <si>
    <t>Systematically capturing, developing and leveraging vital knowledge to create value and enhance organisational performance.</t>
  </si>
  <si>
    <t>Learning and development</t>
  </si>
  <si>
    <t>Continuously acquiring new knowledge and skills to enhance personal and organisational performance.</t>
  </si>
  <si>
    <t>Guiding and influencing individuals or teams to align actions with strategic goals and drive positive outcomes.</t>
  </si>
  <si>
    <t>Competency assessment</t>
  </si>
  <si>
    <t>Assessing knowledge, skills, competency and behaviours by any means, whether formal or informal, against frameworks such as SFIA.</t>
  </si>
  <si>
    <t>Measurement</t>
  </si>
  <si>
    <t>Developing and operating a measurement capability to support agreed organisational information needs.</t>
  </si>
  <si>
    <t>Methods and tools</t>
  </si>
  <si>
    <t>Leads the adoption, management and optimisation of methods and tools, ensuring effective use and alignment with organisational objectives.</t>
  </si>
  <si>
    <t>Marketing campaign management</t>
  </si>
  <si>
    <t>Executing, monitoring and optimising marketing campaigns across various channels to engage target audiences and achieve desired outcomes.</t>
  </si>
  <si>
    <t>Marketing management</t>
  </si>
  <si>
    <t>Developing, implementing and managing marketing strategies and plans to achieve organisational objectives and drive business growth.</t>
  </si>
  <si>
    <t>Machine learning</t>
  </si>
  <si>
    <t>Developing systems that learn from data and experience, improving performance, accuracy and adaptability in dynamic environments.</t>
  </si>
  <si>
    <t>Market research</t>
  </si>
  <si>
    <t>Gathering, analysing and interpreting data about markets, customers and competitors to inform business decisions and strategies.</t>
  </si>
  <si>
    <t>Non-functional testing</t>
  </si>
  <si>
    <t>Assessing systems and services to evaluate performance, security, scalability and other non-functional qualities against requirements or expected standards.</t>
  </si>
  <si>
    <t>Network support</t>
  </si>
  <si>
    <t>Providing maintenance and support services for communications networks.</t>
  </si>
  <si>
    <t>Network design</t>
  </si>
  <si>
    <t>Designing communication networks to meet business requirements, ensuring scalability, reliability, security and alignment with strategic objectives.</t>
  </si>
  <si>
    <t>Numerical analysis</t>
  </si>
  <si>
    <t>Creating, analysing, implementing, testing and improving algorithms for numerically solving mathematical problems.</t>
  </si>
  <si>
    <t>Organisational capability development</t>
  </si>
  <si>
    <t>Providing leadership, advice and implementation support to assess organisational capabilities and to identify, prioritise and implement improvements.</t>
  </si>
  <si>
    <t>Organisational change enablement</t>
  </si>
  <si>
    <t>Facilitates cultural and behavioural change by enabling individuals and teams to embed new ways of working and adapt to changes.</t>
  </si>
  <si>
    <t>Offensive cyber operations</t>
  </si>
  <si>
    <t>Plans, executes and manages offensive cybersecurity operations, including target selection, electronic target folders and post-operation analysis.</t>
  </si>
  <si>
    <t>Organisational facilitation</t>
  </si>
  <si>
    <t>Supporting workgroups to implement principles and practices for effective teamwork across organisational boundaries and professional specialisms.</t>
  </si>
  <si>
    <t>Organisation design and implementation</t>
  </si>
  <si>
    <t>Planning, designing and implementing an integrated organisation structure and culture.</t>
  </si>
  <si>
    <t>Problem management</t>
  </si>
  <si>
    <t>Managing the lifecycle of all problems that have occurred or could occur in delivering a service.</t>
  </si>
  <si>
    <t>Professional development</t>
  </si>
  <si>
    <t>Facilitating the professional development of individuals in line with their career goals and organisational requirements.</t>
  </si>
  <si>
    <t>Information and data compliance</t>
  </si>
  <si>
    <t>Implementing and promoting compliance with information and data management legislation.</t>
  </si>
  <si>
    <t>Performance management</t>
  </si>
  <si>
    <t>Improving organisational performance by developing the performance of individuals and workgroups to meet agreed objectives with measurable results.</t>
  </si>
  <si>
    <t>Penetration testing</t>
  </si>
  <si>
    <t>Testing the effectiveness of security controls by emulating the tools and techniques of likely attackers.</t>
  </si>
  <si>
    <t>Programme management</t>
  </si>
  <si>
    <t>Identifying, planning and coordinating a set of related projects and activities in support of specific business strategies and objectives.</t>
  </si>
  <si>
    <t>Planning</t>
  </si>
  <si>
    <t>Taking a systematic approach to organising tasks, resources and timelines to meet defined goals.</t>
  </si>
  <si>
    <t>Portfolio management</t>
  </si>
  <si>
    <t>Developing and applying a management framework to define and deliver a portfolio of programmes, projects and/or ongoing services.</t>
  </si>
  <si>
    <t>Software configuration</t>
  </si>
  <si>
    <t>Designing and deploying software product configurations into software environments or platforms.</t>
  </si>
  <si>
    <t>Project management</t>
  </si>
  <si>
    <t>Delivering agreed project outcomes by aligning appropriate management techniques, collaboration, leadership and governance to specific project and organisational contexts.</t>
  </si>
  <si>
    <t>Problem-solving</t>
  </si>
  <si>
    <t>Analysing challenges, applying logical methods and developing effective solutions to overcome obstacles.</t>
  </si>
  <si>
    <t>Product management</t>
  </si>
  <si>
    <t>Managing and developing products or services throughout their full lifecycle, from inception through growth, maturity, and decline, to retirement.</t>
  </si>
  <si>
    <t>Portfolio, programme and project support</t>
  </si>
  <si>
    <t>Providing support and guidance on portfolio, programme and project management processes, procedures, tools and techniques.</t>
  </si>
  <si>
    <t>Programming/software development</t>
  </si>
  <si>
    <t>Developing software components to deliver value to stakeholders.</t>
  </si>
  <si>
    <t>Process testing</t>
  </si>
  <si>
    <t>Assessing documented and undocumented process flows within a product, system or service against business needs through investigation and testing.</t>
  </si>
  <si>
    <t>Quality assurance</t>
  </si>
  <si>
    <t>Assuring, through ongoing and periodic assessments and reviews, that the organisation’s quality objectives are being met.</t>
  </si>
  <si>
    <t>Quality management</t>
  </si>
  <si>
    <t>Defining and operating a management framework of processes and working practices to deliver the organisation's quality objectives.</t>
  </si>
  <si>
    <t>Release management</t>
  </si>
  <si>
    <t>Managing the release of new and updated services into production, ensuring alignment with business objectives and compliance standards.</t>
  </si>
  <si>
    <t>Requirements definition and management</t>
  </si>
  <si>
    <t>Managing requirements through the entire delivery and operational lifecycle.</t>
  </si>
  <si>
    <t>Resourcing</t>
  </si>
  <si>
    <t>Acquiring, deploying and onboarding resources.</t>
  </si>
  <si>
    <t>Real-time/embedded systems development</t>
  </si>
  <si>
    <t>Designing and developing reliable real-time software typically within embedded systems.</t>
  </si>
  <si>
    <t>Radio frequency engineering</t>
  </si>
  <si>
    <t>Designing, installing and maintaining radio frequency based devices and software.</t>
  </si>
  <si>
    <t>Stakeholder relationship management</t>
  </si>
  <si>
    <t>Systematically analysing, managing and influencing stakeholder relationships to achieve mutually beneficial outcomes through structured engagement.</t>
  </si>
  <si>
    <t>Records management</t>
  </si>
  <si>
    <t>Planning, implementing and managing the full lifecycle of organisational records.</t>
  </si>
  <si>
    <t>Formal research</t>
  </si>
  <si>
    <t>Systematically creating new knowledge by data gathering, innovation, experimentation, evaluation and dissemination.</t>
  </si>
  <si>
    <t>Selling</t>
  </si>
  <si>
    <t>Finding prospective customers and working with them to identify needs, influence purchase decisions and enhance future business opportunities.</t>
  </si>
  <si>
    <t>Security operations</t>
  </si>
  <si>
    <t>Manages and administers security measures, using tools and intelligence to protect assets, ensuring compliance and operational integrity.</t>
  </si>
  <si>
    <t>Service catalogue management</t>
  </si>
  <si>
    <t>Providing a source of consistent information about available services and products to customers and users.</t>
  </si>
  <si>
    <t>Scientific modelling</t>
  </si>
  <si>
    <t>Applying computer simulation and other forms of computation to solve real-world problems in scientific disciplines.</t>
  </si>
  <si>
    <t>Security, privacy and ethics</t>
  </si>
  <si>
    <t>Ensuring the protection of sensitive information, upholding privacy of data and individuals, and demonstrating ethical conduct within and outside the organisation.</t>
  </si>
  <si>
    <t>Information security</t>
  </si>
  <si>
    <t>Defining and operating a framework of security controls and security management strategies.</t>
  </si>
  <si>
    <t>Service acceptance</t>
  </si>
  <si>
    <t>Managing the process to obtain formal confirmation that service acceptance criteria have been met.</t>
  </si>
  <si>
    <t>Safety assessment</t>
  </si>
  <si>
    <t>Assessing safety-related software and hardware systems to determine compliance with standards and required levels of safety integrity.</t>
  </si>
  <si>
    <t>Safety engineering</t>
  </si>
  <si>
    <t>Applying appropriate methods to assure safety during all lifecycle phases of safety-related systems developments.</t>
  </si>
  <si>
    <t>Systems integration and build</t>
  </si>
  <si>
    <t>Planning, implementing and controlling activities to integrate system elements, subsystems and interfaces to create operational systems, products or services.</t>
  </si>
  <si>
    <t>Systems and software lifecycle engineering</t>
  </si>
  <si>
    <t>Establishing and deploying an environment for developing, continually improving and securely operating software and systems products and services.</t>
  </si>
  <si>
    <t>Service level management</t>
  </si>
  <si>
    <t>Agreeing targets for service levels and assessing, monitoring and managing the delivery of services against the targets.</t>
  </si>
  <si>
    <t>Sourcing</t>
  </si>
  <si>
    <t>Managing, or providing advice on, the procurement or commissioning of products and services.</t>
  </si>
  <si>
    <t>Sales support</t>
  </si>
  <si>
    <t>Providing advice and support to the sales force, customers and sales partners.</t>
  </si>
  <si>
    <t>Storage management</t>
  </si>
  <si>
    <t>Provisioning, configuring and optimising on-premises and cloud-based storage solutions, ensuring data availability, security and alignment with business objectives.</t>
  </si>
  <si>
    <t>Enterprise and business architecture</t>
  </si>
  <si>
    <t>Aligning an organisation's technology strategy with its business mission, strategy and processes and documenting this using architectural models.</t>
  </si>
  <si>
    <t>Subject formation</t>
  </si>
  <si>
    <t>Specifying, designing and developing curricula within a structured and systematic education environment.</t>
  </si>
  <si>
    <t>Supplier management</t>
  </si>
  <si>
    <t>Aligning the organisation’s supplier performance objectives and activities with sourcing strategies and plans, balancing costs, efficiencies and service quality.</t>
  </si>
  <si>
    <t>Sustainability</t>
  </si>
  <si>
    <t>Advising and leading sustainability initiatives to reduce environmental impact and ensure compliance with relevant standards and regulations.</t>
  </si>
  <si>
    <t>Software design</t>
  </si>
  <si>
    <t>Architecting and designing software to meet specified requirements, ensuring adherence to established standards and principles.</t>
  </si>
  <si>
    <t>System software administration</t>
  </si>
  <si>
    <t>Installing, managing and maintaining operating systems, data management, office automation and utility software across various infrastructure environments.</t>
  </si>
  <si>
    <t>Teaching</t>
  </si>
  <si>
    <t>Delivering and assessing curricula in a structured and systematic education environment.</t>
  </si>
  <si>
    <t>Specialist advice</t>
  </si>
  <si>
    <t>Providing authoritative, professional advice and direction in a specialist area.</t>
  </si>
  <si>
    <t>Functional testing</t>
  </si>
  <si>
    <t>Assessing specified or unspecified functional requirements and characteristics of products, systems and services through investigation and testing.</t>
  </si>
  <si>
    <t>Threat intelligence</t>
  </si>
  <si>
    <t>Developing and sharing actionable insights on current and potential security threats to the success or integrity of an organisation.</t>
  </si>
  <si>
    <t>Learning design and development</t>
  </si>
  <si>
    <t>Designing and developing resources to transfer knowledge, develop skills and change behaviours.</t>
  </si>
  <si>
    <t>User experience analysis</t>
  </si>
  <si>
    <t>Understanding the context of use for systems, products and services and specifying user experience requirements and design goals.</t>
  </si>
  <si>
    <t>User research</t>
  </si>
  <si>
    <t>Identifying users' behaviours, needs and motivations using observational research methods.</t>
  </si>
  <si>
    <t>User experience evaluation</t>
  </si>
  <si>
    <t>Validating systems, products or services against user experience goals, metrics and targets.</t>
  </si>
  <si>
    <t>Incident management</t>
  </si>
  <si>
    <t>Coordinating responses to a diverse range of incidents to minimise negative impacts and quickly restore services.</t>
  </si>
  <si>
    <t>Data visualisation</t>
  </si>
  <si>
    <t>Facilitating understanding of data by displaying concepts, ideas and facts using graphical representations.</t>
  </si>
  <si>
    <t>Vulnerability assessment</t>
  </si>
  <si>
    <t>Identifying and classifying security vulnerabilities in networks, systems and applications and mitigating or eliminating their impact.</t>
  </si>
  <si>
    <t>Vulnerability research</t>
  </si>
  <si>
    <t>Conducting applied research to discover, evaluate and mitigate new or unknown security vulnerabilities and weaknesses.</t>
  </si>
  <si>
    <t>Workforce planning</t>
  </si>
  <si>
    <t>Strategically projecting the demand for people and skills and proactively planning the workforce supply to meet organisational needs.</t>
  </si>
  <si>
    <t>HOWTO</t>
  </si>
  <si>
    <t>coeff</t>
  </si>
  <si>
    <t>feelings</t>
  </si>
  <si>
    <t>max</t>
  </si>
  <si>
    <t>descr</t>
  </si>
  <si>
    <t>min</t>
  </si>
  <si>
    <t>importance</t>
  </si>
  <si>
    <t>threshold</t>
  </si>
  <si>
    <t>Secondaire</t>
  </si>
  <si>
    <t>sinon laisser vide</t>
  </si>
  <si>
    <t>weight</t>
  </si>
  <si>
    <t>sum_skill</t>
  </si>
  <si>
    <t>sum_module</t>
  </si>
  <si>
    <t>%obs</t>
  </si>
  <si>
    <t>%skill</t>
  </si>
  <si>
    <t>avg_priority</t>
  </si>
  <si>
    <t>Fondamental</t>
  </si>
  <si>
    <t>cet observable a PARFAITEMENT sa place dans ce projet</t>
  </si>
  <si>
    <t>cet observable a PEUT-ETRE sa place dans ce projet</t>
  </si>
  <si>
    <t>DO NOT TOUCH ANYTHING HERE UNLESS YOU KNOW WHAT YOU ARE DOING</t>
  </si>
  <si>
    <t>Optionnel</t>
  </si>
  <si>
    <t>cet observable est FONDAMENTAL pour ce projet</t>
  </si>
  <si>
    <t>cet observable est SECONDAIRE pour ce projet</t>
  </si>
  <si>
    <t>cet observable est OPTIONNEL pour ce projet</t>
  </si>
  <si>
    <t>(le même entier peut être attribué à différents observables)</t>
  </si>
  <si>
    <t>Science des données : Application de mathématiques, statistiques, exploration de données et techniques de modélisation prédictive pour obtenir des informations, prédire les comportements et générer de la valeur à partir des données.</t>
  </si>
  <si>
    <t>Analyse des données. : Permettre une prise de décision fondée sur les données en extrayant, analysant et communiquant des informations à partir de données structurées et non structurées.</t>
  </si>
  <si>
    <t>Gestion des données : Élaboration et mise en œuvre de plans, directives et pratiques qui contrôlent, protègent et optimisent la valeur et la gouvernance des actifs de données.</t>
  </si>
  <si>
    <t>Apprentissage machine : Développer des systèmes qui apprennent à partir des données et de l’expérience, en améliorant les performances, la précision et l’adaptabilité dans des environnements dynamiques.</t>
  </si>
  <si>
    <t>Tests fonctionnels : Évaluer les exigences fonctionnelles spécifiées ou non spécifiées et les caractéristiques des produits, des systèmes et des services par le biais d’analyses et de tests.</t>
  </si>
  <si>
    <t>Programmation/développement de logiciels : Développement de composants logiciels pour livrer de la valeur aux parties prenantes.</t>
  </si>
  <si>
    <t>Gestion du stockage : Approvisionnement, configuration et optimisation des solutions de stockage sur site et en nuage, en assurant la disponibilité des données, la sécurité et l’alignement sur les objectifs de l’entreprise.</t>
  </si>
  <si>
    <t>Mesures : Développement et opération d’une aptitude de mesure pour soutenir les besoins d’informations organisationnels convenus.</t>
  </si>
  <si>
    <t>Fondamentales</t>
  </si>
  <si>
    <t>Secondaires</t>
  </si>
  <si>
    <t>pondération (approximative)</t>
  </si>
  <si>
    <t>Les "Secondaires" sont moins importantes, elles viennent se greffer à l'existant.</t>
  </si>
  <si>
    <r>
      <t>Les "</t>
    </r>
    <r>
      <rPr>
        <b/>
        <sz val="11"/>
        <color theme="1"/>
        <rFont val="Aptos Narrow"/>
        <family val="2"/>
        <scheme val="minor"/>
      </rPr>
      <t>Fondamentales</t>
    </r>
    <r>
      <rPr>
        <sz val="11"/>
        <color theme="1"/>
        <rFont val="Aptos Narrow"/>
        <family val="2"/>
        <scheme val="minor"/>
      </rPr>
      <t>" sont les plus importantes, elles constituent la racine (ou la colonne vertébrale).</t>
    </r>
  </si>
  <si>
    <t>Cliquez ici si vous voulez plus d'informations sur le référentiel de compétences SFIA.</t>
  </si>
  <si>
    <t>Les compétences sont triées selon leur niveau d'importance dans le cadre du projet :</t>
  </si>
  <si>
    <t xml:space="preserve">Colonne A    </t>
  </si>
  <si>
    <t xml:space="preserve">Colonne D    </t>
  </si>
  <si>
    <t>Chaque compétence est composée d'un nom, suivi d'une description.</t>
  </si>
  <si>
    <t xml:space="preserve">Colonne E    </t>
  </si>
  <si>
    <t xml:space="preserve">Colonnes B et C    </t>
  </si>
  <si>
    <t xml:space="preserve">Mise en garde  </t>
  </si>
  <si>
    <r>
      <t xml:space="preserve">Les éléments fournis (compétences / observables) sont </t>
    </r>
    <r>
      <rPr>
        <b/>
        <sz val="11"/>
        <color rgb="FFFF0000"/>
        <rFont val="Aptos Narrow"/>
        <family val="2"/>
        <scheme val="minor"/>
      </rPr>
      <t>indicatifs</t>
    </r>
    <r>
      <rPr>
        <sz val="11"/>
        <color rgb="FFFF0000"/>
        <rFont val="Aptos Narrow"/>
        <family val="2"/>
        <scheme val="minor"/>
      </rPr>
      <t xml:space="preserve"> : ils sont là pour servir de </t>
    </r>
    <r>
      <rPr>
        <b/>
        <sz val="11"/>
        <color rgb="FFFF0000"/>
        <rFont val="Aptos Narrow"/>
        <family val="2"/>
        <scheme val="minor"/>
      </rPr>
      <t>guide</t>
    </r>
    <r>
      <rPr>
        <sz val="11"/>
        <color rgb="FFFF0000"/>
        <rFont val="Aptos Narrow"/>
        <family val="2"/>
        <scheme val="minor"/>
      </rPr>
      <t xml:space="preserve"> dans la création du projet.</t>
    </r>
  </si>
  <si>
    <r>
      <t xml:space="preserve">Ils ne doivent </t>
    </r>
    <r>
      <rPr>
        <b/>
        <sz val="11"/>
        <color rgb="FFFF0000"/>
        <rFont val="Aptos Narrow"/>
        <family val="2"/>
        <scheme val="minor"/>
      </rPr>
      <t>pas</t>
    </r>
    <r>
      <rPr>
        <sz val="11"/>
        <color rgb="FFFF0000"/>
        <rFont val="Aptos Narrow"/>
        <family val="2"/>
        <scheme val="minor"/>
      </rPr>
      <t xml:space="preserve"> être perçus comme </t>
    </r>
    <r>
      <rPr>
        <b/>
        <sz val="11"/>
        <color rgb="FFFF0000"/>
        <rFont val="Aptos Narrow"/>
        <family val="2"/>
        <scheme val="minor"/>
      </rPr>
      <t>restrictifs</t>
    </r>
    <r>
      <rPr>
        <sz val="11"/>
        <color rgb="FFFF0000"/>
        <rFont val="Aptos Narrow"/>
        <family val="2"/>
        <scheme val="minor"/>
      </rPr>
      <t xml:space="preserve"> et perçus comme une </t>
    </r>
    <r>
      <rPr>
        <b/>
        <sz val="11"/>
        <color rgb="FFFF0000"/>
        <rFont val="Aptos Narrow"/>
        <family val="2"/>
        <scheme val="minor"/>
      </rPr>
      <t>contrainte</t>
    </r>
    <r>
      <rPr>
        <sz val="11"/>
        <color rgb="FFFF0000"/>
        <rFont val="Aptos Narrow"/>
        <family val="2"/>
        <scheme val="minor"/>
      </rPr>
      <t>.</t>
    </r>
  </si>
  <si>
    <t xml:space="preserve">Remarque  </t>
  </si>
  <si>
    <t>Les compétences sont regroupées par catégories et sous-catégories dont voici le code couleur :</t>
  </si>
  <si>
    <r>
      <t xml:space="preserve">Pour chaque compétence, des exemples d'observables peuvent être affichés/masquées en cliquant sur le bouton </t>
    </r>
    <r>
      <rPr>
        <b/>
        <sz val="11"/>
        <color theme="1"/>
        <rFont val="Aptos Narrow"/>
        <family val="2"/>
        <scheme val="minor"/>
      </rPr>
      <t>+/-</t>
    </r>
    <r>
      <rPr>
        <sz val="11"/>
        <color theme="1"/>
        <rFont val="Aptos Narrow"/>
        <family val="2"/>
        <scheme val="minor"/>
      </rPr>
      <t>.</t>
    </r>
  </si>
  <si>
    <t>Ces exemples d'observables sont ceux que l'on pourrait retrouver dans un barème d'évaluation.</t>
  </si>
  <si>
    <t>0. Copiez-collez les compétences et observables sélectionnés depuis le frameworks dans les colonnes B à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</si>
</sst>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4" x14ac:knownFonts="1">
    <font>
      <sz val="11"/>
      <color theme="1"/>
      <name val="Aptos Narrow"/>
      <family val="2"/>
      <scheme val="minor"/>
    </font>
    <font>
      <b/>
      <sz val="11"/>
      <color theme="1"/>
      <name val="Aptos Narrow"/>
      <family val="2"/>
      <scheme val="minor"/>
    </font>
    <font>
      <sz val="11"/>
      <color theme="1"/>
      <name val="Aptos Narrow"/>
      <family val="2"/>
      <scheme val="minor"/>
    </font>
    <font>
      <b/>
      <sz val="11"/>
      <color rgb="FFFF0000"/>
      <name val="Aptos Narrow"/>
      <family val="2"/>
      <scheme val="minor"/>
    </font>
    <font>
      <b/>
      <sz val="12"/>
      <color rgb="FFFF0000"/>
      <name val="Aptos Narrow"/>
      <family val="2"/>
      <scheme val="minor"/>
    </font>
    <font>
      <b/>
      <i/>
      <sz val="11"/>
      <color theme="1"/>
      <name val="Aptos Narrow"/>
      <family val="2"/>
      <scheme val="minor"/>
    </font>
    <font>
      <sz val="12"/>
      <color theme="1"/>
      <name val="Aptos Narrow"/>
      <family val="2"/>
      <scheme val="minor"/>
    </font>
    <font>
      <sz val="14"/>
      <color theme="1"/>
      <name val="Aptos Narrow"/>
      <family val="2"/>
      <scheme val="minor"/>
    </font>
    <font>
      <sz val="16"/>
      <color theme="1"/>
      <name val="Aptos Narrow"/>
      <family val="2"/>
      <scheme val="minor"/>
    </font>
    <font>
      <sz val="14"/>
      <color rgb="FFFF0000"/>
      <name val="Aptos Narrow"/>
      <family val="2"/>
      <scheme val="minor"/>
    </font>
    <font>
      <b/>
      <sz val="11"/>
      <color theme="0"/>
      <name val="Aptos Narrow"/>
      <family val="2"/>
      <scheme val="minor"/>
    </font>
    <font>
      <sz val="11"/>
      <color rgb="FFFF0000"/>
      <name val="Aptos Narrow"/>
      <family val="2"/>
      <scheme val="minor"/>
    </font>
    <font>
      <u/>
      <sz val="11"/>
      <color theme="10"/>
      <name val="Aptos Narrow"/>
      <family val="2"/>
      <scheme val="minor"/>
    </font>
    <font>
      <i/>
      <u/>
      <sz val="11"/>
      <color theme="10"/>
      <name val="Aptos Narrow"/>
      <family val="2"/>
      <scheme val="minor"/>
    </font>
  </fonts>
  <fills count="11">
    <fill>
      <patternFill patternType="none"/>
    </fill>
    <fill>
      <patternFill patternType="gray125"/>
    </fill>
    <fill>
      <patternFill patternType="solid">
        <fgColor theme="9" tint="0.39997558519241921"/>
        <bgColor indexed="64"/>
      </patternFill>
    </fill>
    <fill>
      <patternFill patternType="solid">
        <fgColor theme="0" tint="-0.249977111117893"/>
        <bgColor indexed="64"/>
      </patternFill>
    </fill>
    <fill>
      <patternFill patternType="solid">
        <fgColor rgb="FFFF0000"/>
        <bgColor indexed="64"/>
      </patternFill>
    </fill>
    <fill>
      <patternFill patternType="solid">
        <fgColor rgb="FFB8860B"/>
        <bgColor indexed="64"/>
      </patternFill>
    </fill>
    <fill>
      <patternFill patternType="solid">
        <fgColor rgb="FF8B4513"/>
        <bgColor indexed="64"/>
      </patternFill>
    </fill>
    <fill>
      <patternFill patternType="solid">
        <fgColor rgb="FFDE324C"/>
        <bgColor indexed="64"/>
      </patternFill>
    </fill>
    <fill>
      <patternFill patternType="solid">
        <fgColor rgb="FF9400D3"/>
        <bgColor indexed="64"/>
      </patternFill>
    </fill>
    <fill>
      <patternFill patternType="solid">
        <fgColor rgb="FF191970"/>
        <bgColor indexed="64"/>
      </patternFill>
    </fill>
    <fill>
      <patternFill patternType="solid">
        <fgColor rgb="FF006400"/>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0" fontId="12" fillId="0" borderId="0" applyNumberFormat="0" applyFill="0" applyBorder="0" applyAlignment="0" applyProtection="0"/>
  </cellStyleXfs>
  <cellXfs count="38">
    <xf numFmtId="0" fontId="0" fillId="0" borderId="0" xfId="0"/>
    <xf numFmtId="0" fontId="0" fillId="0" borderId="0" xfId="0" applyAlignment="1">
      <alignment vertical="center" wrapText="1"/>
    </xf>
    <xf numFmtId="0" fontId="0" fillId="0" borderId="0" xfId="0" applyAlignment="1">
      <alignment vertical="center"/>
    </xf>
    <xf numFmtId="0" fontId="1" fillId="0" borderId="0" xfId="0" applyFont="1"/>
    <xf numFmtId="9" fontId="0" fillId="0" borderId="0" xfId="0" applyNumberFormat="1"/>
    <xf numFmtId="0" fontId="0" fillId="3" borderId="0" xfId="0" applyFill="1"/>
    <xf numFmtId="0" fontId="0" fillId="3" borderId="0" xfId="0" applyFill="1" applyAlignment="1">
      <alignment vertical="center"/>
    </xf>
    <xf numFmtId="164" fontId="0" fillId="3" borderId="0" xfId="1" applyNumberFormat="1" applyFont="1" applyFill="1" applyAlignment="1">
      <alignment vertical="center"/>
    </xf>
    <xf numFmtId="0" fontId="3" fillId="0" borderId="0" xfId="0" applyFont="1"/>
    <xf numFmtId="0" fontId="4" fillId="0" borderId="0" xfId="0" applyFont="1"/>
    <xf numFmtId="0" fontId="0" fillId="4" borderId="0" xfId="0" applyFill="1"/>
    <xf numFmtId="0" fontId="0" fillId="2" borderId="0" xfId="0" applyFill="1"/>
    <xf numFmtId="9" fontId="0" fillId="2" borderId="0" xfId="0" applyNumberFormat="1" applyFill="1"/>
    <xf numFmtId="0" fontId="5" fillId="0" borderId="0" xfId="0" applyFont="1"/>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6" fillId="0" borderId="0" xfId="0" applyFont="1" applyAlignment="1">
      <alignment horizontal="right"/>
    </xf>
    <xf numFmtId="0" fontId="7" fillId="0" borderId="0" xfId="0" applyFont="1"/>
    <xf numFmtId="0" fontId="8" fillId="0" borderId="0" xfId="0" applyFont="1"/>
    <xf numFmtId="0" fontId="9" fillId="0" borderId="0" xfId="0" applyFont="1"/>
    <xf numFmtId="0" fontId="0" fillId="0" borderId="0" xfId="0" applyAlignment="1">
      <alignment horizontal="center" vertical="center" wrapText="1"/>
    </xf>
    <xf numFmtId="0" fontId="0" fillId="0" borderId="0" xfId="0" applyAlignment="1">
      <alignment horizontal="center" vertical="center"/>
    </xf>
    <xf numFmtId="0" fontId="12" fillId="0" borderId="0" xfId="2"/>
    <xf numFmtId="0" fontId="0" fillId="0" borderId="0" xfId="0" applyAlignment="1">
      <alignment horizontal="left"/>
    </xf>
    <xf numFmtId="0" fontId="13" fillId="0" borderId="0" xfId="2" applyFont="1"/>
    <xf numFmtId="0" fontId="11" fillId="0" borderId="0" xfId="0" applyFont="1"/>
    <xf numFmtId="0" fontId="1" fillId="0" borderId="0" xfId="0" applyFont="1" applyAlignment="1">
      <alignment horizontal="right"/>
    </xf>
    <xf numFmtId="0" fontId="3" fillId="0" borderId="0" xfId="0" applyFont="1" applyAlignment="1">
      <alignment horizontal="right"/>
    </xf>
    <xf numFmtId="0" fontId="5" fillId="0" borderId="0" xfId="0" applyFont="1" applyAlignment="1">
      <alignment horizontal="right"/>
    </xf>
    <xf numFmtId="0" fontId="6" fillId="0" borderId="0" xfId="0" applyFont="1"/>
    <xf numFmtId="9" fontId="6" fillId="0" borderId="0" xfId="0" applyNumberFormat="1" applyFont="1"/>
    <xf numFmtId="0" fontId="10" fillId="7" borderId="0" xfId="0" applyFont="1" applyFill="1" applyAlignment="1">
      <alignment horizontal="left"/>
    </xf>
    <xf numFmtId="0" fontId="10" fillId="8" borderId="0" xfId="0" applyFont="1" applyFill="1" applyAlignment="1">
      <alignment horizontal="left"/>
    </xf>
    <xf numFmtId="0" fontId="10" fillId="6" borderId="0" xfId="0" applyFont="1" applyFill="1" applyAlignment="1">
      <alignment horizontal="left"/>
    </xf>
    <xf numFmtId="0" fontId="10" fillId="5" borderId="0" xfId="0" applyFont="1" applyFill="1" applyAlignment="1">
      <alignment horizontal="left"/>
    </xf>
    <xf numFmtId="0" fontId="10" fillId="9" borderId="0" xfId="0" applyFont="1" applyFill="1" applyAlignment="1">
      <alignment horizontal="left"/>
    </xf>
    <xf numFmtId="0" fontId="10" fillId="10" borderId="0" xfId="0" applyFont="1" applyFill="1" applyAlignment="1">
      <alignment horizontal="left"/>
    </xf>
  </cellXfs>
  <cellStyles count="3">
    <cellStyle name="Hyperlink" xfId="2" builtinId="8"/>
    <cellStyle name="Normal" xfId="0" builtinId="0"/>
    <cellStyle name="Percent" xfId="1" builtinId="5"/>
  </cellStyles>
  <dxfs count="216">
    <dxf>
      <font>
        <b val="0"/>
        <i val="0"/>
        <color theme="0"/>
      </font>
      <fill>
        <patternFill>
          <bgColor rgb="FFB22222"/>
        </patternFill>
      </fill>
    </dxf>
    <dxf>
      <font>
        <b val="0"/>
        <i val="0"/>
        <color theme="0"/>
      </font>
      <fill>
        <patternFill>
          <bgColor rgb="FF006400"/>
        </patternFill>
      </fill>
    </dxf>
    <dxf>
      <font>
        <b val="0"/>
        <i val="0"/>
        <color theme="0"/>
      </font>
      <fill>
        <patternFill>
          <bgColor rgb="FF191970"/>
        </patternFill>
      </fill>
    </dxf>
    <dxf>
      <font>
        <b val="0"/>
        <i val="0"/>
        <color theme="0"/>
      </font>
      <fill>
        <patternFill>
          <bgColor rgb="FFB8860B"/>
        </patternFill>
      </fill>
    </dxf>
    <dxf>
      <font>
        <b val="0"/>
        <i val="0"/>
        <color theme="0"/>
      </font>
      <fill>
        <patternFill>
          <bgColor rgb="FF8B4513"/>
        </patternFill>
      </fill>
    </dxf>
    <dxf>
      <font>
        <b val="0"/>
        <i val="0"/>
        <color theme="0"/>
      </font>
      <fill>
        <patternFill>
          <bgColor rgb="FF9400D3"/>
        </patternFill>
      </fill>
    </dxf>
    <dxf>
      <font>
        <b/>
        <i val="0"/>
        <color theme="0"/>
      </font>
      <fill>
        <patternFill>
          <bgColor rgb="FFB22222"/>
        </patternFill>
      </fill>
    </dxf>
    <dxf>
      <font>
        <b/>
        <i val="0"/>
        <color theme="0"/>
      </font>
      <fill>
        <patternFill>
          <bgColor rgb="FF006400"/>
        </patternFill>
      </fill>
    </dxf>
    <dxf>
      <font>
        <b/>
        <i val="0"/>
        <color theme="0"/>
      </font>
      <fill>
        <patternFill>
          <bgColor rgb="FF191970"/>
        </patternFill>
      </fill>
    </dxf>
    <dxf>
      <font>
        <b/>
        <i val="0"/>
        <color theme="0"/>
      </font>
      <fill>
        <patternFill>
          <bgColor rgb="FFB8860B"/>
        </patternFill>
      </fill>
    </dxf>
    <dxf>
      <font>
        <b/>
        <i val="0"/>
        <color theme="0"/>
      </font>
      <fill>
        <patternFill>
          <bgColor rgb="FF8B4513"/>
        </patternFill>
      </fill>
    </dxf>
    <dxf>
      <font>
        <b/>
        <i val="0"/>
        <color theme="0"/>
      </font>
      <fill>
        <patternFill>
          <bgColor rgb="FF9400D3"/>
        </patternFill>
      </fill>
    </dxf>
    <dxf>
      <font>
        <b val="0"/>
        <i val="0"/>
        <color theme="0"/>
      </font>
      <fill>
        <patternFill>
          <bgColor rgb="FFB22222"/>
        </patternFill>
      </fill>
    </dxf>
    <dxf>
      <font>
        <b val="0"/>
        <i val="0"/>
        <color theme="0"/>
      </font>
      <fill>
        <patternFill>
          <bgColor rgb="FF006400"/>
        </patternFill>
      </fill>
    </dxf>
    <dxf>
      <font>
        <b val="0"/>
        <i val="0"/>
        <color theme="0"/>
      </font>
      <fill>
        <patternFill>
          <bgColor rgb="FF191970"/>
        </patternFill>
      </fill>
    </dxf>
    <dxf>
      <font>
        <b val="0"/>
        <i val="0"/>
        <color theme="0"/>
      </font>
      <fill>
        <patternFill>
          <bgColor rgb="FFB8860B"/>
        </patternFill>
      </fill>
    </dxf>
    <dxf>
      <font>
        <b val="0"/>
        <i val="0"/>
        <color theme="0"/>
      </font>
      <fill>
        <patternFill>
          <bgColor rgb="FF8B4513"/>
        </patternFill>
      </fill>
    </dxf>
    <dxf>
      <font>
        <b val="0"/>
        <i val="0"/>
        <color theme="0"/>
      </font>
      <fill>
        <patternFill>
          <bgColor rgb="FF9400D3"/>
        </patternFill>
      </fill>
    </dxf>
    <dxf>
      <font>
        <b/>
        <i val="0"/>
        <color theme="0"/>
      </font>
      <fill>
        <patternFill>
          <bgColor rgb="FFB22222"/>
        </patternFill>
      </fill>
    </dxf>
    <dxf>
      <font>
        <b/>
        <i val="0"/>
        <color theme="0"/>
      </font>
      <fill>
        <patternFill>
          <bgColor rgb="FF006400"/>
        </patternFill>
      </fill>
    </dxf>
    <dxf>
      <font>
        <b/>
        <i val="0"/>
        <color theme="0"/>
      </font>
      <fill>
        <patternFill>
          <bgColor rgb="FF191970"/>
        </patternFill>
      </fill>
    </dxf>
    <dxf>
      <font>
        <b/>
        <i val="0"/>
        <color theme="0"/>
      </font>
      <fill>
        <patternFill>
          <bgColor rgb="FFB8860B"/>
        </patternFill>
      </fill>
    </dxf>
    <dxf>
      <font>
        <b/>
        <i val="0"/>
        <color theme="0"/>
      </font>
      <fill>
        <patternFill>
          <bgColor rgb="FF8B4513"/>
        </patternFill>
      </fill>
    </dxf>
    <dxf>
      <font>
        <b/>
        <i val="0"/>
        <color theme="0"/>
      </font>
      <fill>
        <patternFill>
          <bgColor rgb="FF9400D3"/>
        </patternFill>
      </fill>
    </dxf>
    <dxf>
      <font>
        <b val="0"/>
        <i val="0"/>
        <color rgb="FFB22222"/>
      </font>
      <fill>
        <patternFill patternType="none">
          <bgColor auto="1"/>
        </patternFill>
      </fill>
    </dxf>
    <dxf>
      <font>
        <b val="0"/>
        <i val="0"/>
        <color rgb="FF006400"/>
      </font>
      <fill>
        <patternFill patternType="none">
          <bgColor auto="1"/>
        </patternFill>
      </fill>
    </dxf>
    <dxf>
      <font>
        <b val="0"/>
        <i val="0"/>
        <color rgb="FF191970"/>
      </font>
      <fill>
        <patternFill patternType="none">
          <bgColor auto="1"/>
        </patternFill>
      </fill>
    </dxf>
    <dxf>
      <font>
        <b val="0"/>
        <i val="0"/>
        <color rgb="FFB8860B"/>
      </font>
      <fill>
        <patternFill patternType="none">
          <bgColor auto="1"/>
        </patternFill>
      </fill>
    </dxf>
    <dxf>
      <font>
        <b val="0"/>
        <i val="0"/>
        <color rgb="FF8B4513"/>
      </font>
      <fill>
        <patternFill patternType="none">
          <bgColor auto="1"/>
        </patternFill>
      </fill>
    </dxf>
    <dxf>
      <font>
        <b val="0"/>
        <i val="0"/>
        <color rgb="FF9400D3"/>
      </font>
      <fill>
        <patternFill patternType="none">
          <bgColor auto="1"/>
        </patternFill>
      </fill>
    </dxf>
    <dxf>
      <font>
        <b/>
        <i val="0"/>
        <color rgb="FFB22222"/>
      </font>
      <fill>
        <patternFill patternType="none">
          <bgColor auto="1"/>
        </patternFill>
      </fill>
    </dxf>
    <dxf>
      <font>
        <b/>
        <i val="0"/>
        <color rgb="FF006400"/>
      </font>
      <fill>
        <patternFill patternType="none">
          <bgColor auto="1"/>
        </patternFill>
      </fill>
    </dxf>
    <dxf>
      <font>
        <b/>
        <i val="0"/>
        <color rgb="FF191970"/>
      </font>
      <fill>
        <patternFill patternType="none">
          <bgColor auto="1"/>
        </patternFill>
      </fill>
    </dxf>
    <dxf>
      <font>
        <b/>
        <i val="0"/>
        <color rgb="FFB8860B"/>
      </font>
      <fill>
        <patternFill patternType="none">
          <bgColor auto="1"/>
        </patternFill>
      </fill>
    </dxf>
    <dxf>
      <font>
        <b/>
        <i val="0"/>
        <color rgb="FF8B4513"/>
      </font>
      <fill>
        <patternFill patternType="none">
          <bgColor auto="1"/>
        </patternFill>
      </fill>
    </dxf>
    <dxf>
      <font>
        <b/>
        <i val="0"/>
        <color rgb="FF9400D3"/>
      </font>
      <fill>
        <patternFill patternType="none">
          <bgColor auto="1"/>
        </patternFill>
      </fill>
    </dxf>
    <dxf>
      <font>
        <b val="0"/>
        <i val="0"/>
        <color theme="0"/>
      </font>
      <fill>
        <patternFill>
          <bgColor rgb="FFB22222"/>
        </patternFill>
      </fill>
    </dxf>
    <dxf>
      <font>
        <b val="0"/>
        <i val="0"/>
        <color theme="0"/>
      </font>
      <fill>
        <patternFill>
          <bgColor rgb="FF006400"/>
        </patternFill>
      </fill>
    </dxf>
    <dxf>
      <font>
        <b val="0"/>
        <i val="0"/>
        <color theme="0"/>
      </font>
      <fill>
        <patternFill>
          <bgColor rgb="FF191970"/>
        </patternFill>
      </fill>
    </dxf>
    <dxf>
      <font>
        <b val="0"/>
        <i val="0"/>
        <color theme="0"/>
      </font>
      <fill>
        <patternFill>
          <bgColor rgb="FFB8860B"/>
        </patternFill>
      </fill>
    </dxf>
    <dxf>
      <font>
        <b val="0"/>
        <i val="0"/>
        <color theme="0"/>
      </font>
      <fill>
        <patternFill>
          <bgColor rgb="FF8B4513"/>
        </patternFill>
      </fill>
    </dxf>
    <dxf>
      <font>
        <b val="0"/>
        <i val="0"/>
        <color theme="0"/>
      </font>
      <fill>
        <patternFill>
          <bgColor rgb="FF9400D3"/>
        </patternFill>
      </fill>
    </dxf>
    <dxf>
      <font>
        <b/>
        <i val="0"/>
        <color theme="0"/>
      </font>
      <fill>
        <patternFill>
          <bgColor rgb="FFB22222"/>
        </patternFill>
      </fill>
    </dxf>
    <dxf>
      <font>
        <b/>
        <i val="0"/>
        <color theme="0"/>
      </font>
      <fill>
        <patternFill>
          <bgColor rgb="FF006400"/>
        </patternFill>
      </fill>
    </dxf>
    <dxf>
      <font>
        <b/>
        <i val="0"/>
        <color theme="0"/>
      </font>
      <fill>
        <patternFill>
          <bgColor rgb="FF191970"/>
        </patternFill>
      </fill>
    </dxf>
    <dxf>
      <font>
        <b/>
        <i val="0"/>
        <color theme="0"/>
      </font>
      <fill>
        <patternFill>
          <bgColor rgb="FFB8860B"/>
        </patternFill>
      </fill>
    </dxf>
    <dxf>
      <font>
        <b/>
        <i val="0"/>
        <color theme="0"/>
      </font>
      <fill>
        <patternFill>
          <bgColor rgb="FF8B4513"/>
        </patternFill>
      </fill>
    </dxf>
    <dxf>
      <font>
        <b/>
        <i val="0"/>
        <color theme="0"/>
      </font>
      <fill>
        <patternFill>
          <bgColor rgb="FF9400D3"/>
        </patternFill>
      </fill>
    </dxf>
    <dxf>
      <font>
        <b val="0"/>
        <i val="0"/>
        <color rgb="FFB22222"/>
      </font>
      <fill>
        <patternFill patternType="none">
          <bgColor auto="1"/>
        </patternFill>
      </fill>
    </dxf>
    <dxf>
      <font>
        <b val="0"/>
        <i val="0"/>
        <color rgb="FF006400"/>
      </font>
      <fill>
        <patternFill patternType="none">
          <bgColor auto="1"/>
        </patternFill>
      </fill>
    </dxf>
    <dxf>
      <font>
        <b val="0"/>
        <i val="0"/>
        <color rgb="FF191970"/>
      </font>
      <fill>
        <patternFill patternType="none">
          <bgColor auto="1"/>
        </patternFill>
      </fill>
    </dxf>
    <dxf>
      <font>
        <b val="0"/>
        <i val="0"/>
        <color rgb="FFB8860B"/>
      </font>
      <fill>
        <patternFill patternType="none">
          <bgColor auto="1"/>
        </patternFill>
      </fill>
    </dxf>
    <dxf>
      <font>
        <b val="0"/>
        <i val="0"/>
        <color rgb="FF8B4513"/>
      </font>
      <fill>
        <patternFill patternType="none">
          <bgColor auto="1"/>
        </patternFill>
      </fill>
    </dxf>
    <dxf>
      <font>
        <b val="0"/>
        <i val="0"/>
        <color rgb="FF9400D3"/>
      </font>
      <fill>
        <patternFill patternType="none">
          <bgColor auto="1"/>
        </patternFill>
      </fill>
    </dxf>
    <dxf>
      <font>
        <b/>
        <i val="0"/>
        <color rgb="FFB22222"/>
      </font>
      <fill>
        <patternFill patternType="none">
          <bgColor auto="1"/>
        </patternFill>
      </fill>
    </dxf>
    <dxf>
      <font>
        <b/>
        <i val="0"/>
        <color rgb="FF006400"/>
      </font>
      <fill>
        <patternFill patternType="none">
          <bgColor auto="1"/>
        </patternFill>
      </fill>
    </dxf>
    <dxf>
      <font>
        <b/>
        <i val="0"/>
        <color rgb="FF191970"/>
      </font>
      <fill>
        <patternFill patternType="none">
          <bgColor auto="1"/>
        </patternFill>
      </fill>
    </dxf>
    <dxf>
      <font>
        <b/>
        <i val="0"/>
        <color rgb="FFB8860B"/>
      </font>
      <fill>
        <patternFill patternType="none">
          <bgColor auto="1"/>
        </patternFill>
      </fill>
    </dxf>
    <dxf>
      <font>
        <b/>
        <i val="0"/>
        <color rgb="FF8B4513"/>
      </font>
      <fill>
        <patternFill patternType="none">
          <bgColor auto="1"/>
        </patternFill>
      </fill>
    </dxf>
    <dxf>
      <font>
        <b/>
        <i val="0"/>
        <color rgb="FF9400D3"/>
      </font>
      <fill>
        <patternFill patternType="none">
          <bgColor auto="1"/>
        </patternFill>
      </fill>
    </dxf>
    <dxf>
      <font>
        <b/>
        <i val="0"/>
        <color auto="1"/>
      </font>
      <fill>
        <patternFill patternType="none">
          <bgColor auto="1"/>
        </patternFill>
      </fill>
    </dxf>
    <dxf>
      <font>
        <b/>
        <i val="0"/>
        <color auto="1"/>
      </font>
      <fill>
        <patternFill patternType="none">
          <bgColor auto="1"/>
        </patternFill>
      </fill>
    </dxf>
    <dxf>
      <font>
        <b val="0"/>
        <i/>
        <strike val="0"/>
      </font>
    </dxf>
    <dxf>
      <font>
        <b/>
        <i/>
        <color auto="1"/>
      </font>
      <fill>
        <patternFill patternType="none">
          <bgColor auto="1"/>
        </patternFill>
      </fill>
    </dxf>
    <dxf>
      <font>
        <b val="0"/>
        <i/>
        <strike val="0"/>
      </font>
    </dxf>
    <dxf>
      <font>
        <b/>
        <i/>
        <color auto="1"/>
      </font>
      <fill>
        <patternFill patternType="none">
          <bgColor auto="1"/>
        </patternFill>
      </fill>
    </dxf>
    <dxf>
      <font>
        <b/>
        <i val="0"/>
        <color auto="1"/>
      </font>
      <fill>
        <patternFill patternType="none">
          <bgColor auto="1"/>
        </patternFill>
      </fill>
    </dxf>
    <dxf>
      <font>
        <b/>
        <i val="0"/>
        <color auto="1"/>
      </font>
      <fill>
        <patternFill patternType="none">
          <bgColor auto="1"/>
        </patternFill>
      </fill>
    </dxf>
    <dxf>
      <font>
        <b/>
        <i val="0"/>
        <color auto="1"/>
      </font>
      <fill>
        <patternFill patternType="none">
          <bgColor auto="1"/>
        </patternFill>
      </fill>
    </dxf>
    <dxf>
      <font>
        <b val="0"/>
        <i/>
        <strike val="0"/>
      </font>
    </dxf>
    <dxf>
      <font>
        <b/>
        <i/>
        <color auto="1"/>
      </font>
      <fill>
        <patternFill patternType="none">
          <bgColor auto="1"/>
        </patternFill>
      </fill>
    </dxf>
    <dxf>
      <font>
        <color theme="0"/>
      </font>
    </dxf>
    <dxf>
      <numFmt numFmtId="0" formatCode="General"/>
      <fill>
        <patternFill>
          <fgColor indexed="64"/>
          <bgColor theme="0" tint="-0.249977111117893"/>
        </patternFill>
      </fill>
      <alignment horizontal="general" vertical="center" textRotation="0" indent="0" justifyLastLine="0" shrinkToFit="0" readingOrder="0"/>
    </dxf>
    <dxf>
      <numFmt numFmtId="164" formatCode="0.0%"/>
      <fill>
        <patternFill>
          <fgColor indexed="64"/>
          <bgColor theme="0" tint="-0.249977111117893"/>
        </patternFill>
      </fill>
      <alignment horizontal="general" vertical="center" textRotation="0" indent="0" justifyLastLine="0" shrinkToFit="0" readingOrder="0"/>
    </dxf>
    <dxf>
      <numFmt numFmtId="164" formatCode="0.0%"/>
      <fill>
        <patternFill>
          <fgColor indexed="64"/>
          <bgColor theme="0" tint="-0.249977111117893"/>
        </patternFill>
      </fill>
      <alignment horizontal="general" vertical="center" textRotation="0" indent="0" justifyLastLine="0" shrinkToFit="0" readingOrder="0"/>
    </dxf>
    <dxf>
      <numFmt numFmtId="0" formatCode="General"/>
      <fill>
        <patternFill>
          <fgColor indexed="64"/>
          <bgColor theme="0" tint="-0.249977111117893"/>
        </patternFill>
      </fill>
      <alignment horizontal="general" vertical="center" textRotation="0" indent="0" justifyLastLine="0" shrinkToFit="0" readingOrder="0"/>
    </dxf>
    <dxf>
      <numFmt numFmtId="0" formatCode="General"/>
      <fill>
        <patternFill>
          <fgColor indexed="64"/>
          <bgColor theme="0" tint="-0.249977111117893"/>
        </patternFill>
      </fill>
      <alignment horizontal="general" vertical="center" textRotation="0" indent="0" justifyLastLine="0" shrinkToFit="0" readingOrder="0"/>
    </dxf>
    <dxf>
      <numFmt numFmtId="0" formatCode="General"/>
      <fill>
        <patternFill>
          <fgColor indexed="64"/>
          <bgColor theme="0" tint="-0.249977111117893"/>
        </patternFill>
      </fill>
      <alignment horizontal="general" vertical="center" textRotation="0" indent="0" justifyLastLine="0" shrinkToFit="0" readingOrder="0"/>
    </dxf>
    <dxf>
      <numFmt numFmtId="0" formatCode="General"/>
      <fill>
        <patternFill>
          <fgColor indexed="64"/>
          <bgColor theme="0" tint="-0.249977111117893"/>
        </patternFill>
      </fill>
      <alignment horizontal="general"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ill>
        <patternFill patternType="none">
          <fgColor indexed="64"/>
          <bgColor indexed="65"/>
        </patternFill>
      </fil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fill>
        <patternFill patternType="solid">
          <fgColor indexed="64"/>
          <bgColor theme="9" tint="0.39997558519241921"/>
        </patternFill>
      </fill>
      <alignment horizontal="general" textRotation="0" wrapText="0" indent="0" justifyLastLine="0" shrinkToFit="0" readingOrder="0"/>
    </dxf>
    <dxf>
      <fill>
        <patternFill patternType="solid">
          <fgColor indexed="64"/>
          <bgColor theme="9" tint="0.39997558519241921"/>
        </patternFill>
      </fill>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textRotation="0" wrapText="0" indent="0" justifyLastLine="0" shrinkToFit="0" readingOrder="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b val="0"/>
      </font>
    </dxf>
    <dxf>
      <font>
        <b val="0"/>
      </font>
    </dxf>
    <dxf>
      <font>
        <b val="0"/>
      </font>
    </dxf>
    <dxf>
      <numFmt numFmtId="13" formatCode="0%"/>
    </dxf>
    <dxf>
      <alignment horizontal="righ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6"/>
      </font>
    </dxf>
    <dxf>
      <font>
        <sz val="16"/>
      </font>
    </dxf>
    <dxf>
      <border>
        <top/>
        <bottom/>
      </border>
    </dxf>
    <dxf>
      <font>
        <sz val="12"/>
      </font>
    </dxf>
    <dxf>
      <font>
        <sz val="12"/>
      </font>
    </dxf>
    <dxf>
      <font>
        <sz val="16"/>
      </font>
    </dxf>
    <dxf>
      <border>
        <bottom style="medium">
          <color indexed="64"/>
        </bottom>
      </border>
    </dxf>
    <dxf>
      <border>
        <top style="thin">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color theme="1"/>
      </font>
      <border>
        <bottom style="thin">
          <color theme="0" tint="-0.34998626667073579"/>
        </bottom>
        <vertical/>
        <horizontal/>
      </border>
    </dxf>
    <dxf>
      <font>
        <color theme="1"/>
      </font>
      <border diagonalUp="0" diagonalDown="0">
        <left/>
        <right/>
        <top/>
        <bottom/>
        <vertical/>
        <horizontal/>
      </border>
    </dxf>
  </dxfs>
  <tableStyles count="2" defaultTableStyle="TableStyleMedium2" defaultPivotStyle="PivotStyleLight16">
    <tableStyle name="PTstyle1" table="0" count="0" xr9:uid="{B006FB80-84D7-4380-A712-8BEF1D71BE43}"/>
    <tableStyle name="SlicerStyleOther1 2" pivot="0" table="0" count="10" xr9:uid="{848195E3-D525-40DA-9B05-CA75C0F413A3}">
      <tableStyleElement type="wholeTable" dxfId="215"/>
      <tableStyleElement type="headerRow" dxfId="214"/>
    </tableStyle>
  </tableStyles>
  <colors>
    <mruColors>
      <color rgb="FF006400"/>
      <color rgb="FF191970"/>
      <color rgb="FF9400D3"/>
      <color rgb="FF8B4513"/>
      <color rgb="FFB8860B"/>
      <color rgb="FFDE324C"/>
      <color rgb="FFB22222"/>
      <color rgb="FF95CF92"/>
      <color rgb="FF369ACC"/>
      <color rgb="FFF4895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4</xdr:col>
      <xdr:colOff>542924</xdr:colOff>
      <xdr:row>0</xdr:row>
      <xdr:rowOff>0</xdr:rowOff>
    </xdr:from>
    <xdr:to>
      <xdr:col>11</xdr:col>
      <xdr:colOff>285750</xdr:colOff>
      <xdr:row>7</xdr:row>
      <xdr:rowOff>9525</xdr:rowOff>
    </xdr:to>
    <mc:AlternateContent xmlns:mc="http://schemas.openxmlformats.org/markup-compatibility/2006" xmlns:sle15="http://schemas.microsoft.com/office/drawing/2012/slicer">
      <mc:Choice Requires="sle15">
        <xdr:graphicFrame macro="">
          <xdr:nvGraphicFramePr>
            <xdr:cNvPr id="3" name="code">
              <a:extLst>
                <a:ext uri="{FF2B5EF4-FFF2-40B4-BE49-F238E27FC236}">
                  <a16:creationId xmlns:a16="http://schemas.microsoft.com/office/drawing/2014/main" id="{AE00E8AB-B2C6-8E97-FC8F-5809BC718575}"/>
                </a:ext>
              </a:extLst>
            </xdr:cNvPr>
            <xdr:cNvGraphicFramePr/>
          </xdr:nvGraphicFramePr>
          <xdr:xfrm>
            <a:off x="0" y="0"/>
            <a:ext cx="0" cy="0"/>
          </xdr:xfrm>
          <a:graphic>
            <a:graphicData uri="http://schemas.microsoft.com/office/drawing/2010/slicer">
              <sle:slicer xmlns:sle="http://schemas.microsoft.com/office/drawing/2010/slicer" name="code"/>
            </a:graphicData>
          </a:graphic>
        </xdr:graphicFrame>
      </mc:Choice>
      <mc:Fallback xmlns="">
        <xdr:sp macro="" textlink="">
          <xdr:nvSpPr>
            <xdr:cNvPr id="0" name=""/>
            <xdr:cNvSpPr>
              <a:spLocks noTextEdit="1"/>
            </xdr:cNvSpPr>
          </xdr:nvSpPr>
          <xdr:spPr>
            <a:xfrm>
              <a:off x="9067799" y="0"/>
              <a:ext cx="7458076" cy="16478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0</xdr:row>
      <xdr:rowOff>0</xdr:rowOff>
    </xdr:from>
    <xdr:to>
      <xdr:col>0</xdr:col>
      <xdr:colOff>2238375</xdr:colOff>
      <xdr:row>29</xdr:row>
      <xdr:rowOff>257174</xdr:rowOff>
    </xdr:to>
    <mc:AlternateContent xmlns:mc="http://schemas.openxmlformats.org/markup-compatibility/2006" xmlns:sle15="http://schemas.microsoft.com/office/drawing/2012/slicer">
      <mc:Choice Requires="sle15">
        <xdr:graphicFrame macro="">
          <xdr:nvGraphicFramePr>
            <xdr:cNvPr id="6" name="compétence">
              <a:extLst>
                <a:ext uri="{FF2B5EF4-FFF2-40B4-BE49-F238E27FC236}">
                  <a16:creationId xmlns:a16="http://schemas.microsoft.com/office/drawing/2014/main" id="{02D3183F-2DE1-95B4-9CDD-A7D42BDA3D3D}"/>
                </a:ext>
              </a:extLst>
            </xdr:cNvPr>
            <xdr:cNvGraphicFramePr/>
          </xdr:nvGraphicFramePr>
          <xdr:xfrm>
            <a:off x="0" y="0"/>
            <a:ext cx="0" cy="0"/>
          </xdr:xfrm>
          <a:graphic>
            <a:graphicData uri="http://schemas.microsoft.com/office/drawing/2010/slicer">
              <sle:slicer xmlns:sle="http://schemas.microsoft.com/office/drawing/2010/slicer" name="compétence"/>
            </a:graphicData>
          </a:graphic>
        </xdr:graphicFrame>
      </mc:Choice>
      <mc:Fallback xmlns="">
        <xdr:sp macro="" textlink="">
          <xdr:nvSpPr>
            <xdr:cNvPr id="0" name=""/>
            <xdr:cNvSpPr>
              <a:spLocks noTextEdit="1"/>
            </xdr:cNvSpPr>
          </xdr:nvSpPr>
          <xdr:spPr>
            <a:xfrm>
              <a:off x="0" y="0"/>
              <a:ext cx="2520000" cy="107346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repos\BACH\content-core_lab\resources\4managers\skills%20-%20Copy.xlsx" TargetMode="External"/><Relationship Id="rId1" Type="http://schemas.openxmlformats.org/officeDocument/2006/relationships/externalLinkPath" Target="/repos/BACH/content-core_lab/resources/4managers/skills%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sheetName val="tools"/>
      <sheetName val="README"/>
      <sheetName val="skills"/>
    </sheetNames>
    <sheetDataSet>
      <sheetData sheetId="0"/>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3g31rk" refreshedDate="46033.909083101855" backgroundQuery="1" createdVersion="8" refreshedVersion="8" minRefreshableVersion="3" recordCount="51" xr:uid="{EFBB4110-2F8D-4237-9844-C13340F66CC4}">
  <cacheSource type="external" connectionId="3"/>
  <cacheFields count="9">
    <cacheField name="code" numFmtId="0">
      <sharedItems count="8">
        <s v="DATS"/>
        <s v="DAAN"/>
        <s v="DATM"/>
        <s v="MEAS"/>
        <s v="MLNG"/>
        <s v="PROG"/>
        <s v="STMG"/>
        <s v="TEST"/>
      </sharedItems>
    </cacheField>
    <cacheField name="skill" numFmtId="0">
      <sharedItems count="8">
        <s v="Science des données"/>
        <s v="Analyse des données."/>
        <s v="Gestion des données"/>
        <s v="Mesures"/>
        <s v="Apprentissage machine"/>
        <s v="Programmation/développement de logiciels"/>
        <s v="Gestion du stockage"/>
        <s v="Tests fonctionnels"/>
      </sharedItems>
    </cacheField>
    <cacheField name="description" numFmtId="0">
      <sharedItems count="8">
        <s v="Application de mathématiques, statistiques, exploration de données et techniques de modélisation prédictive pour obtenir des informations, prédire les comportements et générer de la valeur à partir des données."/>
        <s v="Permettre une prise de décision fondée sur les données en extrayant, analysant et communiquant des informations à partir de données structurées et non structurées."/>
        <s v="Élaboration et mise en œuvre de plans, directives et pratiques qui contrôlent, protègent et optimisent la valeur et la gouvernance des actifs de données."/>
        <s v="Développement et opération d’une aptitude de mesure pour soutenir les besoins d’informations organisationnels convenus."/>
        <s v="Développer des systèmes qui apprennent à partir des données et de l’expérience, en améliorant les performances, la précision et l’adaptabilité dans des environnements dynamiques."/>
        <s v="Développement de composants logiciels pour livrer de la valeur aux parties prenantes."/>
        <s v="Approvisionnement, configuration et optimisation des solutions de stockage sur site et en nuage, en assurant la disponibilité des données, la sécurité et l’alignement sur les objectifs de l’entreprise."/>
        <s v="Évaluer les exigences fonctionnelles spécifiées ou non spécifiées et les caractéristiques des produits, des systèmes et des services par le biais d’analyses et de tests."/>
      </sharedItems>
    </cacheField>
    <cacheField name="observable" numFmtId="0">
      <sharedItems count="109" longText="1">
        <s v="développement des constatations prospectives, prédictives, en temps réel et basées sur des modèles pour créer de la valeur et favoriser une prise de décision efficace"/>
        <s v="utilisation de techniques analytiques avancées, y compris, mais sans s’y limiter, l’exploration de données et de textes, l’apprentissage automatique, la comparaison de modèles, les prévisions, la visualisation, l’analyse sémantique, l’analyse des sentiments, l’analyse des réseaux et des grappes, les statistiques à plusieurs variables, l’analyse graphique, la simulation, le traitement d’événements complexes et les réseaux neuronaux."/>
        <s v="affinage des exigences, validation, formation et évolution de modèles au fil du temps pour découvrir des constatations plus approfondies, faire des prédictions ou générer des recommandations"/>
        <s v="développement d’hypothèses et exploration de données à l’aide de modèles et de sandboxes analytiques"/>
        <s v="identification, validation et exploitation d’ensembles de données internes et externes générés à partir d’un large éventail de processus"/>
        <s v="intégration et nettoyage des données pour les adapter aux besoins"/>
        <s v="intégration de méthodes issues des mathématiques, statistiques et modélisation probabiliste à l’aide de langages, outils et techniques de programmation spécialisés"/>
        <s v="sourçage et préparation des données pour analyse"/>
        <s v="découverte, sélection, acquisition et ingestion des sources de données,"/>
        <s v="collecte, traitement et analyse de données provenant de différentes sources"/>
        <s v="concevoir et mettre en œuvre des solutions et des processus d’analyse des données"/>
        <s v="identifier les tendances, les modèles et les idées en utilisant une série de techniques analytiques et statistiques"/>
        <s v="élaboration et la validation de modèles prédictifs"/>
        <s v="collaborer avec les équipes pour aligner les initiatives d’analyse sur les objectifs de l’entreprise"/>
        <s v="garantir la qualité, l’intégrité et la gouvernance des données"/>
        <s v="élaboration de plans, directives et pratiques liés à des domaines tels que, mais sans s’y limiter, la classification, stockage, sécurité, qualité, partage, disponibilité, récupération, conservation et publication"/>
        <s v="implémentation de pratiques de gestion des données pour services cloud"/>
        <s v="intégration de données provenant de sources multiples pour prendre en charge les pipelines de données et permettre des opérations supplémentaires sur les données."/>
        <s v="gérer les données sous toutes leurs formes, en veillant à ce qu’elles soient conformes aux objectifs de l’entreprise et aux exigences réglementaires"/>
        <s v="utilisation de principes éthique dans la manipulation des données."/>
        <s v="développer des méthodes innovantes de gestion des données"/>
        <s v="établissement de méthodes de collecte et d’analyse de données, y compris l’automatisation"/>
        <s v="sélection de mesures et d’échelles de mesures, établissements d’objectifs et de seuils"/>
        <s v="utilisation de mesures pour évaluer la performance et le progrès et fournir des indicateurs et aperçus des problèmes, enjeux et risques actuels ou potentiels"/>
        <s v="identification des exigences de mesure"/>
        <s v="gérer les MLOps pour le déploiement, le suivi et la gestion du cycle de vie des modèles"/>
        <s v="conception, entraînement, optimisation et réentraînement de modèles utilisant l’apprentissage supervisé, non supervisé ou par renforcement"/>
        <s v="évaluation des modèles en termes de performance, de robustesse, d’équité et de partialité, et la sélection de mesures pour évaluer les résultats"/>
        <s v="préparer les données pour l’apprentissage automatique, y compris le nettoyage, la transformation et l’ingénierie des caractéristiques"/>
        <s v="sélectionner et appliquer les techniques, algorithmes et outils d’apprentissage automatique appropriés pour résoudre les problèmes de l’entreprise"/>
        <s v="documentation des composants logiciels"/>
        <s v="résolution de problèmes opérationnels avec le logiciel et correction de défauts."/>
        <s v="sélection de méthodes de développement et cycles de vie appropriés"/>
        <s v="compréhension et accord sur la valeur des composants logiciels à développer"/>
        <s v="application de développement basé sur les tests et assurance d’une couverture de test adéquate"/>
        <s v="utilisation de techniques de revue par les pairs -- telles que la programmation en binôme"/>
        <s v="application de techniques de récupération pour assurer que le logiciel en développement ne soit pas perdu"/>
        <s v="évaluer, approvisionner et tester de nouvelles solutions de stockage, y compris le stockage en nuage"/>
        <s v="contrôle et optimisation des performances et de la capacité de stockage"/>
        <s v="gestion du stockage dans les environnements hybrides et multiclouds"/>
        <s v="résolution des problèmes potentiels et réels liés au stockage"/>
        <s v="élaboration et mise à jour d’outils et de procédures pour le dépannage et l’analyse du stockage"/>
        <s v="sauvegarde, archivage et récupération de données"/>
        <s v="concevoir et adapter les cas de test en fonction des exigences, y compris les différents scénarios, les valeurs limites et les cas marginaux."/>
        <s v="exécuter des tests pour vérifier que les résultats réels correspondent aux résultats escomptés."/>
        <s v="préparer les données et configurer les environnements pour simuler des cas d’utilisation réalistes."/>
        <s v="analyser les résultats afin d’identifier des modèles, d’évaluer la qualité et de suggérer des améliorations du système et des tests."/>
        <s v="enregistrer les défauts avec des étapes de reproduction détaillées, classer les problèmes par ordre de priorité et fournir un retour d’information en vue d’améliorations."/>
        <s v="gérer, exécuter et automatiser les tests, y compris les tests de régression et les tests de fumée, afin d’améliorer l’efficacité et la couverture."/>
        <s v="promouvoir une approche « shift-left » en intégrant des tests fonctionnels dès le début du cycle de vie pour une détection précoce des problèmes."/>
        <s v="développer et maintenir des tests automatisés et des cadres évolutifs et fiables afin de valider les fonctionnalités critiques et d’assurer une qualité continue."/>
        <s v="exploiter les technologies, telles que l’automatisation des processus robotiques, l’intelligence artificielle et l’apprentissage automatique" u="1"/>
        <s v="veiller au respect des normes, réglementations et directives pertinentes en matière d’expérience client." u="1"/>
        <s v="communiquer avec les parties prenantes techniques et non techniques, utiliser des techniques visuelles pour suivre les progrès et en rendre compte" u="1"/>
        <s v="procéder à des examens, faciliter l’amélioration continue et contrôler la qualité et les performances" u="1"/>
        <s v="maintenir l’élan de l’exécution grâce à des processus efficaces, y compris le contrôle du changement et la gestion des risques" u="1"/>
        <s v="gérer et hiérarchiser les tâches, planifier les livraisons et assurer la coordination avec les parties prenantes afin d’aligner les livrables et les étapes" u="1"/>
        <s v="sélectionner, adapter et guider les équipes dans l’utilisation d’approches de livraison" u="1"/>
        <s v="assurer la disponibilité, la performance et la sécurité des composants déployés" u="1"/>
        <s v="suivi et dépannage des processus de déploiement" u="1"/>
        <s v="déplacer des composants nouveaux ou modifiés vers des environnements de test, d’essai et d’exploitation" u="1"/>
        <s v="utiliser des outils et des techniques de déploiement pour garantir des déploiements cohérents et reproductibles, en soutenant la gouvernance, l’audit et la gestion du changement" u="1"/>
        <s v="amélioration de la recherche de données" u="1"/>
        <s v="faciliter l’ingénierie, intégration et inter-opérabilité des données" u="1"/>
        <s v="aide les organisations à comprendre leurs acquis de données, à développer des systèmes logiciels et à mapper les relations entre entités dans la vie réelle" u="1"/>
        <s v="aligner les méthodes et les outils sur les normes et les bonnes pratiques de l’organisation." u="1"/>
        <s v="évaluation, sélection et implémentation de méthodes et outils" u="1"/>
        <s v="évaluer l’efficacité des méthodes et outils mis en œuvre" u="1"/>
        <s v="mesure, adaptation, amélioration et automatisation de l’utilisation des méthodes et outils" u="1"/>
        <s v="créer des graphiques et des éléments visuels de haute qualité à l’aide de logiciels de conception" u="1"/>
        <s v="compréhension et réponse aux objectifs de conception, exigences de convivialité et d’accessibilité" u="1"/>
        <s v="intégrer les services en nuage dans la conception de l’infrastructure." u="1"/>
        <s v="maintenir une documentation complète sur le processus de conception et les décisions" u="1"/>
        <s v="approbation, préparation, planification et gestion de services nouveaux ou changés" u="1"/>
        <s v="assurer la gouvernance et l’administration des identités pour appliquer les politiques, gérer les identités numériques, y compris les comptes d’utilisateurs, les groupes et les rôles." u="1"/>
        <s v="certification et accréditation formelle du système" u="1"/>
        <s v="non-répudiation -- empêcher le refus éventuel qu’une action se soit produite en assurant que les données soient fidèles à leur origine." u="1"/>
        <s v="authenticité -- valider l’identité des utilisateurs et appareils" u="1"/>
        <s v="disponibilité -- assurer que les utilisateurs autorisés ont facilement accès à l’information dont ils ont besoin" u="1"/>
        <s v="confidentialité -- restreindre l’accès aux utilisateurs autorisés uniquement" u="1"/>
        <s v="intégrité -- protéger l’information de modification, récupération ou suppression non-autorisée" u="1"/>
        <s v="contrôler les performances des infrastructures et leur impact sur l’efficacité, la performance, la sécurité et la durabilité" u="1"/>
        <s v="approvisionnement et adaptation des composants de l’infrastructure pour répondre aux besoins changeants des utilisateurs et des fournisseurs de services" u="1"/>
        <s v="participer à des examens visant à affiner les exigences non fonctionnelles, en identifiant les risques et en suggérant des améliorations" u="1"/>
        <s v="analyser les résultats pour évaluer les performances du système, la sécurité et d’autres qualités essentielles, et fournir des indications pour l’améliorer" u="1"/>
        <s v="concevoir des solutions de reprise après sinistre et de continuité des activités pour assurer la résilience du réseau et minimiser les temps d’arrêt" u="1"/>
        <s v="utilisation de techniques visuelles pour la surveillance et suivi du projet" u="1"/>
        <s v="acquisition de ressources et compétences nécessaires" u="1"/>
        <s v="communication avec les parties prenantes et sensibilisation aux besoins et priorités commerciaux" u="1"/>
        <s v="définition des livrables, étapes jalons et dépendances" u="1"/>
        <s v="timeboxing et livraisons incrémentales" u="1"/>
        <s v="réalisation d’examens après la libération et identification des domaines à améliorer" u="1"/>
        <s v="veiller à ce que les versions respectent les normes de qualité, de sécurité et de conformité" u="1"/>
        <s v="gérer le cycle de vie de la version, y compris la construction, les tests, le déploiement et l’examen post-implémentation" u="1"/>
        <s v="s’assurer que les exigences, les priorités et les critères d’acceptation du client sont correctement saisis et validés" u="1"/>
        <s v="élicitation et analyse des exigences, tant fonctionnelles que non-fonctionnelles" u="1"/>
        <s v="identifier et atténuer les risques dans les infrastructures et les applications." u="1"/>
        <s v="intégrer les principes de sécurité dès la conception tout au long du cycle de vie du système, en veillant à ce que la sécurité soit intégrée dès les premières étapes de la conception, tout au long du développement, du déploiement et de l’exploitation" u="1"/>
        <s v="garantir la responsabilité et le respect des lois et des normes applicables" u="1"/>
        <s v="création et exploitation d’une capacité d’intégration continue (CI) au besoin en utilisant le contrôle de version du code source et des artefacts connexes" u="1"/>
        <s v="développement de scénarios histoires utilisateurs ou exigences pour décrire les fonctionnalités ou les capacités" u="1"/>
        <s v="description des objectifs utilisateurs, tâches et environnement dans lequel les systèmes, produits, services ou dispositifs seront utilisés" u="1"/>
        <s v="assurance que les scénarios utilisateurs ou exigences ont été respectées et les pratiques requises suivies pour traiter l’accessibilité, la convivialité, la sécurité, la santé et la sécurité" u="1"/>
        <s v="compréhension et spécification d’expérience utilisateur et exigences d’accessibilité pour tous les utilisateurs potentiels." u="1"/>
        <s v="création et description d’avatars pour représenter les principaux segments d’utilisateurs" u="1"/>
        <s v="veiller au respect des réglementations et des exigences en matière de confidentialité des données" u="1"/>
        <s v="présentation des résultats et constatations des données de manière créative pour faciliter la compréhension des données auprès d’un éventail de publics techniques et non techniques." u="1"/>
        <s v="condensation et encapsulage des caractéristiques de données, facilitant la découverte d’opportunités, l’identification de risques, l’analyse de tendances et la prise de décision efficace" u="1"/>
        <s v="élaborer des récits et des histoires autour des données pour améliorer la compréhension et soutenir la prise de décision." u="1"/>
      </sharedItems>
    </cacheField>
    <cacheField name="%skill" numFmtId="0">
      <sharedItems containsSemiMixedTypes="0" containsString="0" containsNumber="1" minValue="4.2564735748478043E-2" maxValue="0.20308729048199436" count="8">
        <n v="0.20308729048199436"/>
        <n v="0.16391226027602449"/>
        <n v="0.15662144293894689"/>
        <n v="4.2564735748478043E-2"/>
        <n v="0.16128966411160808"/>
        <n v="5.6512576349565899E-2"/>
        <n v="7.2698365677622376E-2"/>
        <n v="5.3101452938381637E-2"/>
      </sharedItems>
    </cacheField>
    <cacheField name="importance" numFmtId="0">
      <sharedItems count="6">
        <s v="Fondamentales"/>
        <s v="Secondaires"/>
        <s v="Fondamentale" u="1"/>
        <s v="Secondaire" u="1"/>
        <s v="Fondamental" u="1"/>
        <s v="Accessoire" u="1"/>
      </sharedItems>
    </cacheField>
    <cacheField name="catégorie" numFmtId="0">
      <sharedItems count="4">
        <s v="Développement et mise en œuvre"/>
        <s v="Stratégie et architecture"/>
        <s v="Livraison et exploitation"/>
        <s v="Changement et transformation" u="1"/>
      </sharedItems>
    </cacheField>
    <cacheField name="sous-catégorie" numFmtId="0">
      <sharedItems count="4">
        <s v="Données et analytique"/>
        <s v="Gestion des finances et de la valeur"/>
        <s v="Développement de systèmes"/>
        <s v="Gestion technologique"/>
      </sharedItems>
    </cacheField>
    <cacheField name="compétence" numFmtId="0">
      <sharedItems count="38">
        <s v="Science des données : Application de mathématiques, statistiques, exploration de données et techniques de modélisation prédictive pour obtenir des informations, prédire les comportements et générer de la valeur à partir des données."/>
        <s v="Analyse des données. : Permettre une prise de décision fondée sur les données en extrayant, analysant et communiquant des informations à partir de données structurées et non structurées."/>
        <s v="Gestion des données : Élaboration et mise en œuvre de plans, directives et pratiques qui contrôlent, protègent et optimisent la valeur et la gouvernance des actifs de données."/>
        <s v="Mesures : Développement et opération d’une aptitude de mesure pour soutenir les besoins d’informations organisationnels convenus."/>
        <s v="Apprentissage machine : Développer des systèmes qui apprennent à partir des données et de l’expérience, en améliorant les performances, la précision et l’adaptabilité dans des environnements dynamiques."/>
        <s v="Programmation/développement de logiciels : Développement de composants logiciels pour livrer de la valeur aux parties prenantes."/>
        <s v="Gestion du stockage : Approvisionnement, configuration et optimisation des solutions de stockage sur site et en nuage, en assurant la disponibilité des données, la sécurité et l’alignement sur les objectifs de l’entreprise."/>
        <s v="Tests fonctionnels : Évaluer les exigences fonctionnelles spécifiées ou non spécifiées et les caractéristiques des produits, des systèmes et des services par le biais d’analyses et de tests."/>
        <s v="Science des données" u="1"/>
        <s v="Analyse des données." u="1"/>
        <s v="Gestion des données" u="1"/>
        <s v="Mesures" u="1"/>
        <s v="Apprentissage machine" u="1"/>
        <s v="Programmation/développement de logiciels" u="1"/>
        <s v="Gestion du stockage" u="1"/>
        <s v="Tests fonctionnels" u="1"/>
        <s v="Améliorations des processus d’entreprise" u="1"/>
        <s v="Expérience client" u="1"/>
        <s v="Gestion des livraisons" u="1"/>
        <s v="Déploiement" u="1"/>
        <s v="Modélisation des données" u="1"/>
        <s v="Méthodes et outils" u="1"/>
        <s v="Conception graphique" u="1"/>
        <s v="Conception d’expérience utilisateur" u="1"/>
        <s v="Conception des infrastructures" u="1"/>
        <s v="Gestion des identités et des accès" u="1"/>
        <s v="Assurance des informations" u="1"/>
        <s v="Opérations d’infrastructure" u="1"/>
        <s v="Tests non fonctionnels" u="1"/>
        <s v="Conception de réseaux" u="1"/>
        <s v="Gestion de projet" u="1"/>
        <s v="Gestion des versions" u="1"/>
        <s v="Définition et gestion des exigences" u="1"/>
        <s v="Sécurisation de l’information" u="1"/>
        <s v="Intégration et construction de systèmes" u="1"/>
        <s v="Analyse d’expérience utilisateur" u="1"/>
        <s v="Gestion des incidents" u="1"/>
        <s v="Visualisation des données" u="1"/>
      </sharedItems>
    </cacheField>
  </cacheFields>
  <extLst>
    <ext xmlns:x14="http://schemas.microsoft.com/office/spreadsheetml/2009/9/main" uri="{725AE2AE-9491-48be-B2B4-4EB974FC3084}">
      <x14:pivotCacheDefinition pivotCacheId="498339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x v="0"/>
    <x v="0"/>
    <x v="0"/>
    <x v="0"/>
    <x v="0"/>
    <x v="0"/>
    <x v="0"/>
    <x v="0"/>
  </r>
  <r>
    <x v="0"/>
    <x v="0"/>
    <x v="0"/>
    <x v="1"/>
    <x v="0"/>
    <x v="0"/>
    <x v="0"/>
    <x v="0"/>
    <x v="0"/>
  </r>
  <r>
    <x v="0"/>
    <x v="0"/>
    <x v="0"/>
    <x v="2"/>
    <x v="0"/>
    <x v="0"/>
    <x v="0"/>
    <x v="0"/>
    <x v="0"/>
  </r>
  <r>
    <x v="0"/>
    <x v="0"/>
    <x v="0"/>
    <x v="3"/>
    <x v="0"/>
    <x v="0"/>
    <x v="0"/>
    <x v="0"/>
    <x v="0"/>
  </r>
  <r>
    <x v="0"/>
    <x v="0"/>
    <x v="0"/>
    <x v="4"/>
    <x v="0"/>
    <x v="0"/>
    <x v="0"/>
    <x v="0"/>
    <x v="0"/>
  </r>
  <r>
    <x v="0"/>
    <x v="0"/>
    <x v="0"/>
    <x v="5"/>
    <x v="0"/>
    <x v="0"/>
    <x v="0"/>
    <x v="0"/>
    <x v="0"/>
  </r>
  <r>
    <x v="0"/>
    <x v="0"/>
    <x v="0"/>
    <x v="6"/>
    <x v="0"/>
    <x v="0"/>
    <x v="0"/>
    <x v="0"/>
    <x v="0"/>
  </r>
  <r>
    <x v="0"/>
    <x v="0"/>
    <x v="0"/>
    <x v="7"/>
    <x v="0"/>
    <x v="0"/>
    <x v="0"/>
    <x v="0"/>
    <x v="0"/>
  </r>
  <r>
    <x v="0"/>
    <x v="0"/>
    <x v="0"/>
    <x v="8"/>
    <x v="0"/>
    <x v="0"/>
    <x v="0"/>
    <x v="0"/>
    <x v="0"/>
  </r>
  <r>
    <x v="1"/>
    <x v="1"/>
    <x v="1"/>
    <x v="9"/>
    <x v="1"/>
    <x v="0"/>
    <x v="0"/>
    <x v="0"/>
    <x v="1"/>
  </r>
  <r>
    <x v="1"/>
    <x v="1"/>
    <x v="1"/>
    <x v="10"/>
    <x v="1"/>
    <x v="0"/>
    <x v="0"/>
    <x v="0"/>
    <x v="1"/>
  </r>
  <r>
    <x v="1"/>
    <x v="1"/>
    <x v="1"/>
    <x v="11"/>
    <x v="1"/>
    <x v="0"/>
    <x v="0"/>
    <x v="0"/>
    <x v="1"/>
  </r>
  <r>
    <x v="1"/>
    <x v="1"/>
    <x v="1"/>
    <x v="12"/>
    <x v="1"/>
    <x v="0"/>
    <x v="0"/>
    <x v="0"/>
    <x v="1"/>
  </r>
  <r>
    <x v="1"/>
    <x v="1"/>
    <x v="1"/>
    <x v="13"/>
    <x v="1"/>
    <x v="0"/>
    <x v="0"/>
    <x v="0"/>
    <x v="1"/>
  </r>
  <r>
    <x v="1"/>
    <x v="1"/>
    <x v="1"/>
    <x v="14"/>
    <x v="1"/>
    <x v="0"/>
    <x v="0"/>
    <x v="0"/>
    <x v="1"/>
  </r>
  <r>
    <x v="2"/>
    <x v="2"/>
    <x v="2"/>
    <x v="15"/>
    <x v="2"/>
    <x v="0"/>
    <x v="0"/>
    <x v="0"/>
    <x v="2"/>
  </r>
  <r>
    <x v="2"/>
    <x v="2"/>
    <x v="2"/>
    <x v="16"/>
    <x v="2"/>
    <x v="0"/>
    <x v="0"/>
    <x v="0"/>
    <x v="2"/>
  </r>
  <r>
    <x v="2"/>
    <x v="2"/>
    <x v="2"/>
    <x v="17"/>
    <x v="2"/>
    <x v="0"/>
    <x v="0"/>
    <x v="0"/>
    <x v="2"/>
  </r>
  <r>
    <x v="2"/>
    <x v="2"/>
    <x v="2"/>
    <x v="18"/>
    <x v="2"/>
    <x v="0"/>
    <x v="0"/>
    <x v="0"/>
    <x v="2"/>
  </r>
  <r>
    <x v="2"/>
    <x v="2"/>
    <x v="2"/>
    <x v="19"/>
    <x v="2"/>
    <x v="0"/>
    <x v="0"/>
    <x v="0"/>
    <x v="2"/>
  </r>
  <r>
    <x v="2"/>
    <x v="2"/>
    <x v="2"/>
    <x v="20"/>
    <x v="2"/>
    <x v="0"/>
    <x v="0"/>
    <x v="0"/>
    <x v="2"/>
  </r>
  <r>
    <x v="3"/>
    <x v="3"/>
    <x v="3"/>
    <x v="21"/>
    <x v="3"/>
    <x v="1"/>
    <x v="1"/>
    <x v="1"/>
    <x v="3"/>
  </r>
  <r>
    <x v="3"/>
    <x v="3"/>
    <x v="3"/>
    <x v="22"/>
    <x v="3"/>
    <x v="1"/>
    <x v="1"/>
    <x v="1"/>
    <x v="3"/>
  </r>
  <r>
    <x v="3"/>
    <x v="3"/>
    <x v="3"/>
    <x v="23"/>
    <x v="3"/>
    <x v="1"/>
    <x v="1"/>
    <x v="1"/>
    <x v="3"/>
  </r>
  <r>
    <x v="3"/>
    <x v="3"/>
    <x v="3"/>
    <x v="24"/>
    <x v="3"/>
    <x v="1"/>
    <x v="1"/>
    <x v="1"/>
    <x v="3"/>
  </r>
  <r>
    <x v="4"/>
    <x v="4"/>
    <x v="4"/>
    <x v="25"/>
    <x v="4"/>
    <x v="0"/>
    <x v="0"/>
    <x v="0"/>
    <x v="4"/>
  </r>
  <r>
    <x v="4"/>
    <x v="4"/>
    <x v="4"/>
    <x v="26"/>
    <x v="4"/>
    <x v="0"/>
    <x v="0"/>
    <x v="0"/>
    <x v="4"/>
  </r>
  <r>
    <x v="4"/>
    <x v="4"/>
    <x v="4"/>
    <x v="27"/>
    <x v="4"/>
    <x v="0"/>
    <x v="0"/>
    <x v="0"/>
    <x v="4"/>
  </r>
  <r>
    <x v="4"/>
    <x v="4"/>
    <x v="4"/>
    <x v="28"/>
    <x v="4"/>
    <x v="0"/>
    <x v="0"/>
    <x v="0"/>
    <x v="4"/>
  </r>
  <r>
    <x v="4"/>
    <x v="4"/>
    <x v="4"/>
    <x v="29"/>
    <x v="4"/>
    <x v="0"/>
    <x v="0"/>
    <x v="0"/>
    <x v="4"/>
  </r>
  <r>
    <x v="5"/>
    <x v="5"/>
    <x v="5"/>
    <x v="30"/>
    <x v="5"/>
    <x v="1"/>
    <x v="0"/>
    <x v="2"/>
    <x v="5"/>
  </r>
  <r>
    <x v="5"/>
    <x v="5"/>
    <x v="5"/>
    <x v="31"/>
    <x v="5"/>
    <x v="1"/>
    <x v="0"/>
    <x v="2"/>
    <x v="5"/>
  </r>
  <r>
    <x v="5"/>
    <x v="5"/>
    <x v="5"/>
    <x v="32"/>
    <x v="5"/>
    <x v="1"/>
    <x v="0"/>
    <x v="2"/>
    <x v="5"/>
  </r>
  <r>
    <x v="5"/>
    <x v="5"/>
    <x v="5"/>
    <x v="33"/>
    <x v="5"/>
    <x v="1"/>
    <x v="0"/>
    <x v="2"/>
    <x v="5"/>
  </r>
  <r>
    <x v="5"/>
    <x v="5"/>
    <x v="5"/>
    <x v="34"/>
    <x v="5"/>
    <x v="1"/>
    <x v="0"/>
    <x v="2"/>
    <x v="5"/>
  </r>
  <r>
    <x v="5"/>
    <x v="5"/>
    <x v="5"/>
    <x v="35"/>
    <x v="5"/>
    <x v="1"/>
    <x v="0"/>
    <x v="2"/>
    <x v="5"/>
  </r>
  <r>
    <x v="5"/>
    <x v="5"/>
    <x v="5"/>
    <x v="36"/>
    <x v="5"/>
    <x v="1"/>
    <x v="0"/>
    <x v="2"/>
    <x v="5"/>
  </r>
  <r>
    <x v="6"/>
    <x v="6"/>
    <x v="6"/>
    <x v="37"/>
    <x v="6"/>
    <x v="1"/>
    <x v="2"/>
    <x v="3"/>
    <x v="6"/>
  </r>
  <r>
    <x v="6"/>
    <x v="6"/>
    <x v="6"/>
    <x v="38"/>
    <x v="6"/>
    <x v="1"/>
    <x v="2"/>
    <x v="3"/>
    <x v="6"/>
  </r>
  <r>
    <x v="6"/>
    <x v="6"/>
    <x v="6"/>
    <x v="39"/>
    <x v="6"/>
    <x v="1"/>
    <x v="2"/>
    <x v="3"/>
    <x v="6"/>
  </r>
  <r>
    <x v="6"/>
    <x v="6"/>
    <x v="6"/>
    <x v="40"/>
    <x v="6"/>
    <x v="1"/>
    <x v="2"/>
    <x v="3"/>
    <x v="6"/>
  </r>
  <r>
    <x v="6"/>
    <x v="6"/>
    <x v="6"/>
    <x v="41"/>
    <x v="6"/>
    <x v="1"/>
    <x v="2"/>
    <x v="3"/>
    <x v="6"/>
  </r>
  <r>
    <x v="6"/>
    <x v="6"/>
    <x v="6"/>
    <x v="42"/>
    <x v="6"/>
    <x v="1"/>
    <x v="2"/>
    <x v="3"/>
    <x v="6"/>
  </r>
  <r>
    <x v="7"/>
    <x v="7"/>
    <x v="7"/>
    <x v="43"/>
    <x v="7"/>
    <x v="1"/>
    <x v="0"/>
    <x v="2"/>
    <x v="7"/>
  </r>
  <r>
    <x v="7"/>
    <x v="7"/>
    <x v="7"/>
    <x v="44"/>
    <x v="7"/>
    <x v="1"/>
    <x v="0"/>
    <x v="2"/>
    <x v="7"/>
  </r>
  <r>
    <x v="7"/>
    <x v="7"/>
    <x v="7"/>
    <x v="45"/>
    <x v="7"/>
    <x v="1"/>
    <x v="0"/>
    <x v="2"/>
    <x v="7"/>
  </r>
  <r>
    <x v="7"/>
    <x v="7"/>
    <x v="7"/>
    <x v="46"/>
    <x v="7"/>
    <x v="1"/>
    <x v="0"/>
    <x v="2"/>
    <x v="7"/>
  </r>
  <r>
    <x v="7"/>
    <x v="7"/>
    <x v="7"/>
    <x v="47"/>
    <x v="7"/>
    <x v="1"/>
    <x v="0"/>
    <x v="2"/>
    <x v="7"/>
  </r>
  <r>
    <x v="7"/>
    <x v="7"/>
    <x v="7"/>
    <x v="48"/>
    <x v="7"/>
    <x v="1"/>
    <x v="0"/>
    <x v="2"/>
    <x v="7"/>
  </r>
  <r>
    <x v="7"/>
    <x v="7"/>
    <x v="7"/>
    <x v="49"/>
    <x v="7"/>
    <x v="1"/>
    <x v="0"/>
    <x v="2"/>
    <x v="7"/>
  </r>
  <r>
    <x v="7"/>
    <x v="7"/>
    <x v="7"/>
    <x v="50"/>
    <x v="7"/>
    <x v="1"/>
    <x v="0"/>
    <x v="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9D2731-C0FD-422F-ADFA-F4A2E850BF31}" name="pt_skills" cacheId="34" applyNumberFormats="0" applyBorderFormats="0" applyFontFormats="0" applyPatternFormats="0" applyAlignmentFormats="0" applyWidthHeightFormats="1" dataCaption="Values" updatedVersion="8" minRefreshableVersion="3" rowGrandTotals="0" colGrandTotals="0" itemPrintTitles="1" createdVersion="8" indent="0" showHeaders="0" compact="0" outline="1" outlineData="1" compactData="0" multipleFieldFilters="0" rowHeaderCaption="Liste des compétences par priorité décroissante" fieldListSortAscending="1">
  <location ref="A1:F27" firstHeaderRow="1" firstDataRow="1" firstDataCol="5"/>
  <pivotFields count="9">
    <pivotField compact="0" showAll="0" insertBlankRow="1"/>
    <pivotField compact="0" showAll="0" insertBlankRow="1"/>
    <pivotField compact="0" showAll="0" insertBlankRow="1"/>
    <pivotField axis="axisRow" compact="0" showAll="0" insertBlankRow="1">
      <items count="110">
        <item sd="0" m="1" x="87"/>
        <item sd="0" x="2"/>
        <item sd="0" m="1" x="64"/>
        <item sd="0" m="1" x="65"/>
        <item sd="0" m="1" x="62"/>
        <item sd="0" x="46"/>
        <item sd="0" m="1" x="84"/>
        <item sd="0" x="34"/>
        <item sd="0" x="36"/>
        <item sd="0" m="1" x="73"/>
        <item sd="0" m="1" x="82"/>
        <item sd="0" m="1" x="102"/>
        <item sd="0" m="1" x="58"/>
        <item sd="0" m="1" x="74"/>
        <item sd="0" m="1" x="77"/>
        <item sd="0" m="1" x="75"/>
        <item sd="0" x="13"/>
        <item sd="0" x="9"/>
        <item sd="0" m="1" x="88"/>
        <item sd="0" m="1" x="53"/>
        <item sd="0" x="33"/>
        <item sd="0" m="1" x="70"/>
        <item sd="0" m="1" x="103"/>
        <item sd="0" x="26"/>
        <item sd="0" m="1" x="85"/>
        <item sd="0" x="43"/>
        <item sd="0" x="10"/>
        <item sd="0" m="1" x="107"/>
        <item sd="0" m="1" x="79"/>
        <item sd="0" x="38"/>
        <item sd="0" m="1" x="81"/>
        <item sd="0" m="1" x="104"/>
        <item sd="0" m="1" x="99"/>
        <item sd="0" m="1" x="69"/>
        <item sd="0" x="8"/>
        <item sd="0" m="1" x="89"/>
        <item sd="0" m="1" x="60"/>
        <item sd="0" m="1" x="101"/>
        <item sd="0" x="3"/>
        <item sd="0" m="1" x="100"/>
        <item sd="0" x="0"/>
        <item sd="0" x="20"/>
        <item sd="0" x="50"/>
        <item sd="0" m="1" x="78"/>
        <item sd="0" x="30"/>
        <item sd="0" x="15"/>
        <item sd="0" x="12"/>
        <item sd="0" x="41"/>
        <item sd="0" m="1" x="108"/>
        <item sd="0" m="1" x="95"/>
        <item sd="0" x="47"/>
        <item sd="0" x="21"/>
        <item sd="0" x="27"/>
        <item sd="0" m="1" x="66"/>
        <item sd="0" m="1" x="67"/>
        <item sd="0" x="37"/>
        <item sd="0" x="44"/>
        <item sd="0" m="1" x="51"/>
        <item sd="0" m="1" x="63"/>
        <item sd="0" x="14"/>
        <item sd="0" m="1" x="98"/>
        <item sd="0" m="1" x="56"/>
        <item sd="0" m="1" x="93"/>
        <item sd="0" x="18"/>
        <item sd="0" x="25"/>
        <item sd="0" x="48"/>
        <item sd="0" x="39"/>
        <item sd="0" x="24"/>
        <item sd="0" x="4"/>
        <item sd="0" m="1" x="96"/>
        <item sd="0" x="11"/>
        <item sd="0" x="16"/>
        <item sd="0" x="17"/>
        <item sd="0" x="6"/>
        <item sd="0" x="5"/>
        <item sd="0" m="1" x="97"/>
        <item sd="0" m="1" x="71"/>
        <item sd="0" m="1" x="80"/>
        <item sd="0" m="1" x="55"/>
        <item sd="0" m="1" x="72"/>
        <item sd="0" m="1" x="68"/>
        <item sd="0" m="1" x="76"/>
        <item sd="0" m="1" x="83"/>
        <item sd="0" x="45"/>
        <item sd="0" x="28"/>
        <item sd="0" m="1" x="106"/>
        <item sd="0" m="1" x="54"/>
        <item sd="0" x="49"/>
        <item sd="0" m="1" x="91"/>
        <item sd="0" x="31"/>
        <item sd="0" x="40"/>
        <item sd="0" m="1" x="94"/>
        <item sd="0" x="42"/>
        <item sd="0" x="22"/>
        <item sd="0" x="32"/>
        <item sd="0" x="29"/>
        <item sd="0" m="1" x="57"/>
        <item sd="0" x="7"/>
        <item sd="0" m="1" x="59"/>
        <item sd="0" m="1" x="90"/>
        <item sd="0" x="23"/>
        <item sd="0" x="19"/>
        <item sd="0" x="1"/>
        <item sd="0" x="35"/>
        <item sd="0" m="1" x="86"/>
        <item sd="0" m="1" x="61"/>
        <item sd="0" m="1" x="92"/>
        <item sd="0" m="1" x="52"/>
        <item sd="0" m="1" x="105"/>
        <item t="default"/>
      </items>
    </pivotField>
    <pivotField dataField="1" compact="0" showAll="0" insertBlankRow="1"/>
    <pivotField axis="axisRow" compact="0" showAll="0" insertBlankRow="1" sortType="ascending">
      <items count="7">
        <item m="1" x="5"/>
        <item m="1" x="4"/>
        <item m="1" x="2"/>
        <item x="0"/>
        <item m="1" x="3"/>
        <item x="1"/>
        <item t="default"/>
      </items>
    </pivotField>
    <pivotField axis="axisRow" compact="0" showAll="0" insertBlankRow="1" sortType="descending">
      <items count="5">
        <item sd="0" m="1" x="3"/>
        <item x="0"/>
        <item x="2"/>
        <item x="1"/>
        <item t="default" sd="0"/>
      </items>
      <autoSortScope>
        <pivotArea dataOnly="0" outline="0" fieldPosition="0">
          <references count="1">
            <reference field="4294967294" count="1" selected="0">
              <x v="0"/>
            </reference>
          </references>
        </pivotArea>
      </autoSortScope>
    </pivotField>
    <pivotField axis="axisRow" compact="0" showAll="0" insertBlankRow="1" sortType="descending">
      <items count="5">
        <item x="2"/>
        <item x="0"/>
        <item x="1"/>
        <item x="3"/>
        <item t="default"/>
      </items>
      <autoSortScope>
        <pivotArea dataOnly="0" outline="0" fieldPosition="0">
          <references count="1">
            <reference field="4294967294" count="1" selected="0">
              <x v="0"/>
            </reference>
          </references>
        </pivotArea>
      </autoSortScope>
    </pivotField>
    <pivotField axis="axisRow" compact="0" showAll="0" insertBlankRow="1" sortType="descending">
      <items count="39">
        <item sd="0" m="1" x="16"/>
        <item sd="0" m="1" x="35"/>
        <item sd="0" m="1" x="9"/>
        <item sd="0" m="1" x="12"/>
        <item sd="0" m="1" x="26"/>
        <item sd="0" m="1" x="23"/>
        <item sd="0" m="1" x="29"/>
        <item sd="0" m="1" x="24"/>
        <item sd="0" m="1" x="22"/>
        <item sd="0" m="1" x="32"/>
        <item sd="0" m="1" x="19"/>
        <item sd="0" m="1" x="17"/>
        <item sd="0" m="1" x="30"/>
        <item sd="0" m="1" x="10"/>
        <item sd="0" m="1" x="25"/>
        <item sd="0" m="1" x="36"/>
        <item sd="0" m="1" x="18"/>
        <item sd="0" m="1" x="31"/>
        <item sd="0" m="1" x="14"/>
        <item sd="0" m="1" x="34"/>
        <item sd="0" m="1" x="11"/>
        <item sd="0" m="1" x="21"/>
        <item sd="0" m="1" x="20"/>
        <item sd="0" m="1" x="27"/>
        <item sd="0" m="1" x="13"/>
        <item sd="0" m="1" x="8"/>
        <item sd="0" m="1" x="33"/>
        <item sd="0" m="1" x="15"/>
        <item sd="0" m="1" x="28"/>
        <item sd="0" m="1" x="37"/>
        <item sd="0" x="0"/>
        <item sd="0" x="1"/>
        <item sd="0" x="2"/>
        <item sd="0" x="3"/>
        <item sd="0" x="4"/>
        <item sd="0" x="5"/>
        <item sd="0" x="6"/>
        <item sd="0" x="7"/>
        <item t="default" sd="0"/>
      </items>
      <autoSortScope>
        <pivotArea dataOnly="0" outline="0" fieldPosition="0">
          <references count="1">
            <reference field="4294967294" count="1" selected="0">
              <x v="0"/>
            </reference>
          </references>
        </pivotArea>
      </autoSortScope>
    </pivotField>
  </pivotFields>
  <rowFields count="5">
    <field x="5"/>
    <field x="6"/>
    <field x="7"/>
    <field x="8"/>
    <field x="3"/>
  </rowFields>
  <rowItems count="26">
    <i>
      <x v="3"/>
    </i>
    <i r="1">
      <x v="1"/>
    </i>
    <i r="2">
      <x v="1"/>
    </i>
    <i r="3">
      <x v="30"/>
    </i>
    <i t="blank" r="3">
      <x v="30"/>
    </i>
    <i r="3">
      <x v="31"/>
    </i>
    <i t="blank" r="3">
      <x v="31"/>
    </i>
    <i r="3">
      <x v="32"/>
    </i>
    <i t="blank" r="3">
      <x v="32"/>
    </i>
    <i r="3">
      <x v="34"/>
    </i>
    <i t="blank" r="3">
      <x v="34"/>
    </i>
    <i>
      <x v="5"/>
    </i>
    <i r="1">
      <x v="1"/>
    </i>
    <i r="2">
      <x/>
    </i>
    <i r="3">
      <x v="37"/>
    </i>
    <i t="blank" r="3">
      <x v="37"/>
    </i>
    <i r="3">
      <x v="35"/>
    </i>
    <i t="blank" r="3">
      <x v="35"/>
    </i>
    <i r="1">
      <x v="2"/>
    </i>
    <i r="2">
      <x v="3"/>
    </i>
    <i r="3">
      <x v="36"/>
    </i>
    <i t="blank" r="3">
      <x v="36"/>
    </i>
    <i r="1">
      <x v="3"/>
    </i>
    <i r="2">
      <x v="2"/>
    </i>
    <i r="3">
      <x v="33"/>
    </i>
    <i t="blank" r="3">
      <x v="33"/>
    </i>
  </rowItems>
  <colItems count="1">
    <i/>
  </colItems>
  <dataFields count="1">
    <dataField name="pondération (approximative)" fld="4" showDataAs="percentOfTotal" baseField="3" baseItem="19" numFmtId="9"/>
  </dataFields>
  <formats count="98">
    <format dxfId="213">
      <pivotArea type="all" dataOnly="0" outline="0" fieldPosition="0"/>
    </format>
    <format dxfId="212">
      <pivotArea outline="0" collapsedLevelsAreSubtotals="1" fieldPosition="0"/>
    </format>
    <format dxfId="211">
      <pivotArea field="5" type="button" dataOnly="0" labelOnly="1" outline="0" axis="axisRow" fieldPosition="0"/>
    </format>
    <format dxfId="210">
      <pivotArea field="6" type="button" dataOnly="0" labelOnly="1" outline="0" axis="axisRow" fieldPosition="1"/>
    </format>
    <format dxfId="209">
      <pivotArea field="7" type="button" dataOnly="0" labelOnly="1" outline="0" axis="axisRow" fieldPosition="2"/>
    </format>
    <format dxfId="208">
      <pivotArea field="8" type="button" dataOnly="0" labelOnly="1" outline="0" axis="axisRow" fieldPosition="3"/>
    </format>
    <format dxfId="207">
      <pivotArea field="3" type="button" dataOnly="0" labelOnly="1" outline="0" axis="axisRow" fieldPosition="4"/>
    </format>
    <format dxfId="206">
      <pivotArea dataOnly="0" labelOnly="1" outline="0" fieldPosition="0">
        <references count="1">
          <reference field="5" count="0"/>
        </references>
      </pivotArea>
    </format>
    <format dxfId="205">
      <pivotArea dataOnly="0" labelOnly="1" outline="0" fieldPosition="0">
        <references count="2">
          <reference field="5" count="1" selected="0">
            <x v="2"/>
          </reference>
          <reference field="6" count="1">
            <x v="1"/>
          </reference>
        </references>
      </pivotArea>
    </format>
    <format dxfId="204">
      <pivotArea dataOnly="0" labelOnly="1" outline="0" fieldPosition="0">
        <references count="2">
          <reference field="5" count="1" selected="0">
            <x v="4"/>
          </reference>
          <reference field="6" count="0"/>
        </references>
      </pivotArea>
    </format>
    <format dxfId="203">
      <pivotArea dataOnly="0" labelOnly="1" outline="0" fieldPosition="0">
        <references count="3">
          <reference field="5" count="1" selected="0">
            <x v="2"/>
          </reference>
          <reference field="6" count="1" selected="0">
            <x v="1"/>
          </reference>
          <reference field="7" count="1">
            <x v="1"/>
          </reference>
        </references>
      </pivotArea>
    </format>
    <format dxfId="202">
      <pivotArea dataOnly="0" labelOnly="1" outline="0" fieldPosition="0">
        <references count="3">
          <reference field="5" count="1" selected="0">
            <x v="4"/>
          </reference>
          <reference field="6" count="1" selected="0">
            <x v="1"/>
          </reference>
          <reference field="7" count="1">
            <x v="0"/>
          </reference>
        </references>
      </pivotArea>
    </format>
    <format dxfId="201">
      <pivotArea dataOnly="0" labelOnly="1" outline="0" fieldPosition="0">
        <references count="3">
          <reference field="5" count="1" selected="0">
            <x v="4"/>
          </reference>
          <reference field="6" count="1" selected="0">
            <x v="2"/>
          </reference>
          <reference field="7" count="1">
            <x v="3"/>
          </reference>
        </references>
      </pivotArea>
    </format>
    <format dxfId="200">
      <pivotArea dataOnly="0" labelOnly="1" outline="0" fieldPosition="0">
        <references count="3">
          <reference field="5" count="1" selected="0">
            <x v="4"/>
          </reference>
          <reference field="6" count="1" selected="0">
            <x v="3"/>
          </reference>
          <reference field="7" count="1">
            <x v="2"/>
          </reference>
        </references>
      </pivotArea>
    </format>
    <format dxfId="199">
      <pivotArea dataOnly="0" labelOnly="1" outline="0" fieldPosition="0">
        <references count="4">
          <reference field="5" count="1" selected="0">
            <x v="2"/>
          </reference>
          <reference field="6" count="1" selected="0">
            <x v="1"/>
          </reference>
          <reference field="7" count="1" selected="0">
            <x v="1"/>
          </reference>
          <reference field="8" count="4">
            <x v="30"/>
            <x v="31"/>
            <x v="32"/>
            <x v="34"/>
          </reference>
        </references>
      </pivotArea>
    </format>
    <format dxfId="198">
      <pivotArea dataOnly="0" labelOnly="1" outline="0" fieldPosition="0">
        <references count="4">
          <reference field="5" count="1" selected="0">
            <x v="4"/>
          </reference>
          <reference field="6" count="1" selected="0">
            <x v="1"/>
          </reference>
          <reference field="7" count="1" selected="0">
            <x v="0"/>
          </reference>
          <reference field="8" count="2">
            <x v="35"/>
            <x v="37"/>
          </reference>
        </references>
      </pivotArea>
    </format>
    <format dxfId="197">
      <pivotArea dataOnly="0" labelOnly="1" outline="0" fieldPosition="0">
        <references count="4">
          <reference field="5" count="1" selected="0">
            <x v="4"/>
          </reference>
          <reference field="6" count="1" selected="0">
            <x v="2"/>
          </reference>
          <reference field="7" count="1" selected="0">
            <x v="3"/>
          </reference>
          <reference field="8" count="1">
            <x v="36"/>
          </reference>
        </references>
      </pivotArea>
    </format>
    <format dxfId="196">
      <pivotArea dataOnly="0" labelOnly="1" outline="0" fieldPosition="0">
        <references count="4">
          <reference field="5" count="1" selected="0">
            <x v="4"/>
          </reference>
          <reference field="6" count="1" selected="0">
            <x v="3"/>
          </reference>
          <reference field="7" count="1" selected="0">
            <x v="2"/>
          </reference>
          <reference field="8" count="1">
            <x v="33"/>
          </reference>
        </references>
      </pivotArea>
    </format>
    <format dxfId="195">
      <pivotArea dataOnly="0" labelOnly="1" outline="0" fieldPosition="0">
        <references count="5">
          <reference field="3" count="9">
            <x v="1"/>
            <x v="34"/>
            <x v="38"/>
            <x v="40"/>
            <x v="68"/>
            <x v="73"/>
            <x v="74"/>
            <x v="97"/>
            <x v="102"/>
          </reference>
          <reference field="5" count="1" selected="0">
            <x v="2"/>
          </reference>
          <reference field="6" count="1" selected="0">
            <x v="1"/>
          </reference>
          <reference field="7" count="1" selected="0">
            <x v="1"/>
          </reference>
          <reference field="8" count="1" selected="0">
            <x v="30"/>
          </reference>
        </references>
      </pivotArea>
    </format>
    <format dxfId="194">
      <pivotArea dataOnly="0" labelOnly="1" outline="0" fieldPosition="0">
        <references count="5">
          <reference field="3" count="6">
            <x v="16"/>
            <x v="17"/>
            <x v="26"/>
            <x v="46"/>
            <x v="59"/>
            <x v="70"/>
          </reference>
          <reference field="5" count="1" selected="0">
            <x v="2"/>
          </reference>
          <reference field="6" count="1" selected="0">
            <x v="1"/>
          </reference>
          <reference field="7" count="1" selected="0">
            <x v="1"/>
          </reference>
          <reference field="8" count="1" selected="0">
            <x v="31"/>
          </reference>
        </references>
      </pivotArea>
    </format>
    <format dxfId="193">
      <pivotArea dataOnly="0" labelOnly="1" outline="0" fieldPosition="0">
        <references count="5">
          <reference field="3" count="6">
            <x v="41"/>
            <x v="45"/>
            <x v="63"/>
            <x v="71"/>
            <x v="72"/>
            <x v="101"/>
          </reference>
          <reference field="5" count="1" selected="0">
            <x v="2"/>
          </reference>
          <reference field="6" count="1" selected="0">
            <x v="1"/>
          </reference>
          <reference field="7" count="1" selected="0">
            <x v="1"/>
          </reference>
          <reference field="8" count="1" selected="0">
            <x v="32"/>
          </reference>
        </references>
      </pivotArea>
    </format>
    <format dxfId="192">
      <pivotArea dataOnly="0" labelOnly="1" outline="0" fieldPosition="0">
        <references count="5">
          <reference field="3" count="5">
            <x v="23"/>
            <x v="52"/>
            <x v="64"/>
            <x v="84"/>
            <x v="95"/>
          </reference>
          <reference field="5" count="1" selected="0">
            <x v="2"/>
          </reference>
          <reference field="6" count="1" selected="0">
            <x v="1"/>
          </reference>
          <reference field="7" count="1" selected="0">
            <x v="1"/>
          </reference>
          <reference field="8" count="1" selected="0">
            <x v="34"/>
          </reference>
        </references>
      </pivotArea>
    </format>
    <format dxfId="191">
      <pivotArea dataOnly="0" labelOnly="1" outline="0" fieldPosition="0">
        <references count="5">
          <reference field="3" count="8">
            <x v="5"/>
            <x v="25"/>
            <x v="42"/>
            <x v="50"/>
            <x v="56"/>
            <x v="65"/>
            <x v="83"/>
            <x v="87"/>
          </reference>
          <reference field="5" count="1" selected="0">
            <x v="4"/>
          </reference>
          <reference field="6" count="1" selected="0">
            <x v="1"/>
          </reference>
          <reference field="7" count="1" selected="0">
            <x v="0"/>
          </reference>
          <reference field="8" count="1" selected="0">
            <x v="37"/>
          </reference>
        </references>
      </pivotArea>
    </format>
    <format dxfId="190">
      <pivotArea dataOnly="0" labelOnly="1" outline="0" fieldPosition="0">
        <references count="5">
          <reference field="3" count="7">
            <x v="7"/>
            <x v="8"/>
            <x v="20"/>
            <x v="44"/>
            <x v="89"/>
            <x v="94"/>
            <x v="103"/>
          </reference>
          <reference field="5" count="1" selected="0">
            <x v="4"/>
          </reference>
          <reference field="6" count="1" selected="0">
            <x v="1"/>
          </reference>
          <reference field="7" count="1" selected="0">
            <x v="0"/>
          </reference>
          <reference field="8" count="1" selected="0">
            <x v="35"/>
          </reference>
        </references>
      </pivotArea>
    </format>
    <format dxfId="189">
      <pivotArea dataOnly="0" labelOnly="1" outline="0" fieldPosition="0">
        <references count="5">
          <reference field="3" count="6">
            <x v="29"/>
            <x v="47"/>
            <x v="55"/>
            <x v="66"/>
            <x v="90"/>
            <x v="92"/>
          </reference>
          <reference field="5" count="1" selected="0">
            <x v="4"/>
          </reference>
          <reference field="6" count="1" selected="0">
            <x v="2"/>
          </reference>
          <reference field="7" count="1" selected="0">
            <x v="3"/>
          </reference>
          <reference field="8" count="1" selected="0">
            <x v="36"/>
          </reference>
        </references>
      </pivotArea>
    </format>
    <format dxfId="188">
      <pivotArea dataOnly="0" labelOnly="1" outline="0" fieldPosition="0">
        <references count="5">
          <reference field="3" count="4">
            <x v="51"/>
            <x v="67"/>
            <x v="93"/>
            <x v="100"/>
          </reference>
          <reference field="5" count="1" selected="0">
            <x v="4"/>
          </reference>
          <reference field="6" count="1" selected="0">
            <x v="3"/>
          </reference>
          <reference field="7" count="1" selected="0">
            <x v="2"/>
          </reference>
          <reference field="8" count="1" selected="0">
            <x v="33"/>
          </reference>
        </references>
      </pivotArea>
    </format>
    <format dxfId="187">
      <pivotArea dataOnly="0" labelOnly="1" outline="0" axis="axisValues" fieldPosition="0"/>
    </format>
    <format dxfId="186">
      <pivotArea dataOnly="0" fieldPosition="0">
        <references count="1">
          <reference field="6" count="1">
            <x v="1"/>
          </reference>
        </references>
      </pivotArea>
    </format>
    <format dxfId="185">
      <pivotArea dataOnly="0" fieldPosition="0">
        <references count="1">
          <reference field="6" count="1">
            <x v="1"/>
          </reference>
        </references>
      </pivotArea>
    </format>
    <format dxfId="184">
      <pivotArea dataOnly="0" fieldPosition="0">
        <references count="1">
          <reference field="5" count="1">
            <x v="2"/>
          </reference>
        </references>
      </pivotArea>
    </format>
    <format dxfId="183">
      <pivotArea dataOnly="0" fieldPosition="0">
        <references count="1">
          <reference field="6" count="1">
            <x v="1"/>
          </reference>
        </references>
      </pivotArea>
    </format>
    <format dxfId="182">
      <pivotArea dataOnly="0" fieldPosition="0">
        <references count="1">
          <reference field="8" count="1">
            <x v="30"/>
          </reference>
        </references>
      </pivotArea>
    </format>
    <format dxfId="181">
      <pivotArea dataOnly="0" fieldPosition="0">
        <references count="1">
          <reference field="6" count="1">
            <x v="1"/>
          </reference>
        </references>
      </pivotArea>
    </format>
    <format dxfId="180">
      <pivotArea dataOnly="0" labelOnly="1" outline="0" fieldPosition="0">
        <references count="1">
          <reference field="5" count="1">
            <x v="3"/>
          </reference>
        </references>
      </pivotArea>
    </format>
    <format dxfId="179">
      <pivotArea dataOnly="0" labelOnly="1" outline="0" fieldPosition="0">
        <references count="1">
          <reference field="5" count="1">
            <x v="5"/>
          </reference>
        </references>
      </pivotArea>
    </format>
    <format dxfId="178">
      <pivotArea type="all" dataOnly="0" outline="0" fieldPosition="0"/>
    </format>
    <format dxfId="177">
      <pivotArea outline="0" collapsedLevelsAreSubtotals="1" fieldPosition="0"/>
    </format>
    <format dxfId="176">
      <pivotArea dataOnly="0" labelOnly="1" outline="0" fieldPosition="0">
        <references count="1">
          <reference field="5" count="0"/>
        </references>
      </pivotArea>
    </format>
    <format dxfId="175">
      <pivotArea dataOnly="0" labelOnly="1" outline="0" fieldPosition="0">
        <references count="2">
          <reference field="5" count="1" selected="0">
            <x v="3"/>
          </reference>
          <reference field="6" count="1">
            <x v="1"/>
          </reference>
        </references>
      </pivotArea>
    </format>
    <format dxfId="174">
      <pivotArea dataOnly="0" labelOnly="1" outline="0" fieldPosition="0">
        <references count="2">
          <reference field="5" count="1" selected="0">
            <x v="5"/>
          </reference>
          <reference field="6" count="0"/>
        </references>
      </pivotArea>
    </format>
    <format dxfId="173">
      <pivotArea dataOnly="0" labelOnly="1" outline="0" fieldPosition="0">
        <references count="3">
          <reference field="5" count="1" selected="0">
            <x v="3"/>
          </reference>
          <reference field="6" count="1" selected="0">
            <x v="1"/>
          </reference>
          <reference field="7" count="1">
            <x v="1"/>
          </reference>
        </references>
      </pivotArea>
    </format>
    <format dxfId="172">
      <pivotArea dataOnly="0" labelOnly="1" outline="0" fieldPosition="0">
        <references count="3">
          <reference field="5" count="1" selected="0">
            <x v="5"/>
          </reference>
          <reference field="6" count="1" selected="0">
            <x v="1"/>
          </reference>
          <reference field="7" count="1">
            <x v="0"/>
          </reference>
        </references>
      </pivotArea>
    </format>
    <format dxfId="171">
      <pivotArea dataOnly="0" labelOnly="1" outline="0" fieldPosition="0">
        <references count="3">
          <reference field="5" count="1" selected="0">
            <x v="5"/>
          </reference>
          <reference field="6" count="1" selected="0">
            <x v="2"/>
          </reference>
          <reference field="7" count="1">
            <x v="3"/>
          </reference>
        </references>
      </pivotArea>
    </format>
    <format dxfId="170">
      <pivotArea dataOnly="0" labelOnly="1" outline="0" fieldPosition="0">
        <references count="3">
          <reference field="5" count="1" selected="0">
            <x v="5"/>
          </reference>
          <reference field="6" count="1" selected="0">
            <x v="3"/>
          </reference>
          <reference field="7" count="1">
            <x v="2"/>
          </reference>
        </references>
      </pivotArea>
    </format>
    <format dxfId="169">
      <pivotArea dataOnly="0" labelOnly="1" outline="0" fieldPosition="0">
        <references count="4">
          <reference field="5" count="1" selected="0">
            <x v="3"/>
          </reference>
          <reference field="6" count="1" selected="0">
            <x v="1"/>
          </reference>
          <reference field="7" count="1" selected="0">
            <x v="1"/>
          </reference>
          <reference field="8" count="4">
            <x v="30"/>
            <x v="31"/>
            <x v="32"/>
            <x v="34"/>
          </reference>
        </references>
      </pivotArea>
    </format>
    <format dxfId="168">
      <pivotArea dataOnly="0" labelOnly="1" outline="0" fieldPosition="0">
        <references count="4">
          <reference field="5" count="1" selected="0">
            <x v="5"/>
          </reference>
          <reference field="6" count="1" selected="0">
            <x v="1"/>
          </reference>
          <reference field="7" count="1" selected="0">
            <x v="0"/>
          </reference>
          <reference field="8" count="2">
            <x v="35"/>
            <x v="37"/>
          </reference>
        </references>
      </pivotArea>
    </format>
    <format dxfId="167">
      <pivotArea dataOnly="0" labelOnly="1" outline="0" fieldPosition="0">
        <references count="4">
          <reference field="5" count="1" selected="0">
            <x v="5"/>
          </reference>
          <reference field="6" count="1" selected="0">
            <x v="2"/>
          </reference>
          <reference field="7" count="1" selected="0">
            <x v="3"/>
          </reference>
          <reference field="8" count="1">
            <x v="36"/>
          </reference>
        </references>
      </pivotArea>
    </format>
    <format dxfId="166">
      <pivotArea dataOnly="0" labelOnly="1" outline="0" fieldPosition="0">
        <references count="4">
          <reference field="5" count="1" selected="0">
            <x v="5"/>
          </reference>
          <reference field="6" count="1" selected="0">
            <x v="3"/>
          </reference>
          <reference field="7" count="1" selected="0">
            <x v="2"/>
          </reference>
          <reference field="8" count="1">
            <x v="33"/>
          </reference>
        </references>
      </pivotArea>
    </format>
    <format dxfId="165">
      <pivotArea dataOnly="0" labelOnly="1" outline="0" fieldPosition="0">
        <references count="5">
          <reference field="3" count="9">
            <x v="1"/>
            <x v="34"/>
            <x v="38"/>
            <x v="40"/>
            <x v="68"/>
            <x v="73"/>
            <x v="74"/>
            <x v="97"/>
            <x v="102"/>
          </reference>
          <reference field="5" count="1" selected="0">
            <x v="3"/>
          </reference>
          <reference field="6" count="1" selected="0">
            <x v="1"/>
          </reference>
          <reference field="7" count="1" selected="0">
            <x v="1"/>
          </reference>
          <reference field="8" count="1" selected="0">
            <x v="30"/>
          </reference>
        </references>
      </pivotArea>
    </format>
    <format dxfId="164">
      <pivotArea dataOnly="0" labelOnly="1" outline="0" fieldPosition="0">
        <references count="5">
          <reference field="3" count="6">
            <x v="16"/>
            <x v="17"/>
            <x v="26"/>
            <x v="46"/>
            <x v="59"/>
            <x v="70"/>
          </reference>
          <reference field="5" count="1" selected="0">
            <x v="3"/>
          </reference>
          <reference field="6" count="1" selected="0">
            <x v="1"/>
          </reference>
          <reference field="7" count="1" selected="0">
            <x v="1"/>
          </reference>
          <reference field="8" count="1" selected="0">
            <x v="31"/>
          </reference>
        </references>
      </pivotArea>
    </format>
    <format dxfId="163">
      <pivotArea dataOnly="0" labelOnly="1" outline="0" fieldPosition="0">
        <references count="5">
          <reference field="3" count="6">
            <x v="41"/>
            <x v="45"/>
            <x v="63"/>
            <x v="71"/>
            <x v="72"/>
            <x v="101"/>
          </reference>
          <reference field="5" count="1" selected="0">
            <x v="3"/>
          </reference>
          <reference field="6" count="1" selected="0">
            <x v="1"/>
          </reference>
          <reference field="7" count="1" selected="0">
            <x v="1"/>
          </reference>
          <reference field="8" count="1" selected="0">
            <x v="32"/>
          </reference>
        </references>
      </pivotArea>
    </format>
    <format dxfId="162">
      <pivotArea dataOnly="0" labelOnly="1" outline="0" fieldPosition="0">
        <references count="5">
          <reference field="3" count="5">
            <x v="23"/>
            <x v="52"/>
            <x v="64"/>
            <x v="84"/>
            <x v="95"/>
          </reference>
          <reference field="5" count="1" selected="0">
            <x v="3"/>
          </reference>
          <reference field="6" count="1" selected="0">
            <x v="1"/>
          </reference>
          <reference field="7" count="1" selected="0">
            <x v="1"/>
          </reference>
          <reference field="8" count="1" selected="0">
            <x v="34"/>
          </reference>
        </references>
      </pivotArea>
    </format>
    <format dxfId="161">
      <pivotArea dataOnly="0" labelOnly="1" outline="0" fieldPosition="0">
        <references count="5">
          <reference field="3" count="8">
            <x v="5"/>
            <x v="25"/>
            <x v="42"/>
            <x v="50"/>
            <x v="56"/>
            <x v="65"/>
            <x v="83"/>
            <x v="87"/>
          </reference>
          <reference field="5" count="1" selected="0">
            <x v="5"/>
          </reference>
          <reference field="6" count="1" selected="0">
            <x v="1"/>
          </reference>
          <reference field="7" count="1" selected="0">
            <x v="0"/>
          </reference>
          <reference field="8" count="1" selected="0">
            <x v="37"/>
          </reference>
        </references>
      </pivotArea>
    </format>
    <format dxfId="160">
      <pivotArea dataOnly="0" labelOnly="1" outline="0" fieldPosition="0">
        <references count="5">
          <reference field="3" count="7">
            <x v="7"/>
            <x v="8"/>
            <x v="20"/>
            <x v="44"/>
            <x v="89"/>
            <x v="94"/>
            <x v="103"/>
          </reference>
          <reference field="5" count="1" selected="0">
            <x v="5"/>
          </reference>
          <reference field="6" count="1" selected="0">
            <x v="1"/>
          </reference>
          <reference field="7" count="1" selected="0">
            <x v="0"/>
          </reference>
          <reference field="8" count="1" selected="0">
            <x v="35"/>
          </reference>
        </references>
      </pivotArea>
    </format>
    <format dxfId="159">
      <pivotArea dataOnly="0" labelOnly="1" outline="0" fieldPosition="0">
        <references count="5">
          <reference field="3" count="6">
            <x v="29"/>
            <x v="47"/>
            <x v="55"/>
            <x v="66"/>
            <x v="90"/>
            <x v="92"/>
          </reference>
          <reference field="5" count="1" selected="0">
            <x v="5"/>
          </reference>
          <reference field="6" count="1" selected="0">
            <x v="2"/>
          </reference>
          <reference field="7" count="1" selected="0">
            <x v="3"/>
          </reference>
          <reference field="8" count="1" selected="0">
            <x v="36"/>
          </reference>
        </references>
      </pivotArea>
    </format>
    <format dxfId="158">
      <pivotArea dataOnly="0" labelOnly="1" outline="0" fieldPosition="0">
        <references count="5">
          <reference field="3" count="4">
            <x v="51"/>
            <x v="67"/>
            <x v="93"/>
            <x v="100"/>
          </reference>
          <reference field="5" count="1" selected="0">
            <x v="5"/>
          </reference>
          <reference field="6" count="1" selected="0">
            <x v="3"/>
          </reference>
          <reference field="7" count="1" selected="0">
            <x v="2"/>
          </reference>
          <reference field="8" count="1" selected="0">
            <x v="33"/>
          </reference>
        </references>
      </pivotArea>
    </format>
    <format dxfId="157">
      <pivotArea dataOnly="0" labelOnly="1" outline="0" axis="axisValues" fieldPosition="0"/>
    </format>
    <format dxfId="156">
      <pivotArea type="all" dataOnly="0" outline="0" fieldPosition="0"/>
    </format>
    <format dxfId="155">
      <pivotArea outline="0" collapsedLevelsAreSubtotals="1" fieldPosition="0"/>
    </format>
    <format dxfId="154">
      <pivotArea dataOnly="0" labelOnly="1" outline="0" fieldPosition="0">
        <references count="1">
          <reference field="5" count="0"/>
        </references>
      </pivotArea>
    </format>
    <format dxfId="153">
      <pivotArea dataOnly="0" labelOnly="1" outline="0" fieldPosition="0">
        <references count="2">
          <reference field="5" count="1" selected="0">
            <x v="3"/>
          </reference>
          <reference field="6" count="1">
            <x v="1"/>
          </reference>
        </references>
      </pivotArea>
    </format>
    <format dxfId="152">
      <pivotArea dataOnly="0" labelOnly="1" outline="0" fieldPosition="0">
        <references count="2">
          <reference field="5" count="1" selected="0">
            <x v="5"/>
          </reference>
          <reference field="6" count="0"/>
        </references>
      </pivotArea>
    </format>
    <format dxfId="151">
      <pivotArea dataOnly="0" labelOnly="1" outline="0" fieldPosition="0">
        <references count="3">
          <reference field="5" count="1" selected="0">
            <x v="3"/>
          </reference>
          <reference field="6" count="1" selected="0">
            <x v="1"/>
          </reference>
          <reference field="7" count="1">
            <x v="1"/>
          </reference>
        </references>
      </pivotArea>
    </format>
    <format dxfId="150">
      <pivotArea dataOnly="0" labelOnly="1" outline="0" fieldPosition="0">
        <references count="3">
          <reference field="5" count="1" selected="0">
            <x v="5"/>
          </reference>
          <reference field="6" count="1" selected="0">
            <x v="1"/>
          </reference>
          <reference field="7" count="1">
            <x v="0"/>
          </reference>
        </references>
      </pivotArea>
    </format>
    <format dxfId="149">
      <pivotArea dataOnly="0" labelOnly="1" outline="0" fieldPosition="0">
        <references count="3">
          <reference field="5" count="1" selected="0">
            <x v="5"/>
          </reference>
          <reference field="6" count="1" selected="0">
            <x v="2"/>
          </reference>
          <reference field="7" count="1">
            <x v="3"/>
          </reference>
        </references>
      </pivotArea>
    </format>
    <format dxfId="148">
      <pivotArea dataOnly="0" labelOnly="1" outline="0" fieldPosition="0">
        <references count="3">
          <reference field="5" count="1" selected="0">
            <x v="5"/>
          </reference>
          <reference field="6" count="1" selected="0">
            <x v="3"/>
          </reference>
          <reference field="7" count="1">
            <x v="2"/>
          </reference>
        </references>
      </pivotArea>
    </format>
    <format dxfId="147">
      <pivotArea dataOnly="0" labelOnly="1" outline="0" fieldPosition="0">
        <references count="4">
          <reference field="5" count="1" selected="0">
            <x v="3"/>
          </reference>
          <reference field="6" count="1" selected="0">
            <x v="1"/>
          </reference>
          <reference field="7" count="1" selected="0">
            <x v="1"/>
          </reference>
          <reference field="8" count="4">
            <x v="30"/>
            <x v="31"/>
            <x v="32"/>
            <x v="34"/>
          </reference>
        </references>
      </pivotArea>
    </format>
    <format dxfId="146">
      <pivotArea dataOnly="0" labelOnly="1" outline="0" fieldPosition="0">
        <references count="4">
          <reference field="5" count="1" selected="0">
            <x v="5"/>
          </reference>
          <reference field="6" count="1" selected="0">
            <x v="1"/>
          </reference>
          <reference field="7" count="1" selected="0">
            <x v="0"/>
          </reference>
          <reference field="8" count="2">
            <x v="35"/>
            <x v="37"/>
          </reference>
        </references>
      </pivotArea>
    </format>
    <format dxfId="145">
      <pivotArea dataOnly="0" labelOnly="1" outline="0" fieldPosition="0">
        <references count="4">
          <reference field="5" count="1" selected="0">
            <x v="5"/>
          </reference>
          <reference field="6" count="1" selected="0">
            <x v="2"/>
          </reference>
          <reference field="7" count="1" selected="0">
            <x v="3"/>
          </reference>
          <reference field="8" count="1">
            <x v="36"/>
          </reference>
        </references>
      </pivotArea>
    </format>
    <format dxfId="144">
      <pivotArea dataOnly="0" labelOnly="1" outline="0" fieldPosition="0">
        <references count="4">
          <reference field="5" count="1" selected="0">
            <x v="5"/>
          </reference>
          <reference field="6" count="1" selected="0">
            <x v="3"/>
          </reference>
          <reference field="7" count="1" selected="0">
            <x v="2"/>
          </reference>
          <reference field="8" count="1">
            <x v="33"/>
          </reference>
        </references>
      </pivotArea>
    </format>
    <format dxfId="143">
      <pivotArea dataOnly="0" labelOnly="1" outline="0" fieldPosition="0">
        <references count="5">
          <reference field="3" count="9">
            <x v="1"/>
            <x v="34"/>
            <x v="38"/>
            <x v="40"/>
            <x v="68"/>
            <x v="73"/>
            <x v="74"/>
            <x v="97"/>
            <x v="102"/>
          </reference>
          <reference field="5" count="1" selected="0">
            <x v="3"/>
          </reference>
          <reference field="6" count="1" selected="0">
            <x v="1"/>
          </reference>
          <reference field="7" count="1" selected="0">
            <x v="1"/>
          </reference>
          <reference field="8" count="1" selected="0">
            <x v="30"/>
          </reference>
        </references>
      </pivotArea>
    </format>
    <format dxfId="142">
      <pivotArea dataOnly="0" labelOnly="1" outline="0" fieldPosition="0">
        <references count="5">
          <reference field="3" count="6">
            <x v="16"/>
            <x v="17"/>
            <x v="26"/>
            <x v="46"/>
            <x v="59"/>
            <x v="70"/>
          </reference>
          <reference field="5" count="1" selected="0">
            <x v="3"/>
          </reference>
          <reference field="6" count="1" selected="0">
            <x v="1"/>
          </reference>
          <reference field="7" count="1" selected="0">
            <x v="1"/>
          </reference>
          <reference field="8" count="1" selected="0">
            <x v="31"/>
          </reference>
        </references>
      </pivotArea>
    </format>
    <format dxfId="141">
      <pivotArea dataOnly="0" labelOnly="1" outline="0" fieldPosition="0">
        <references count="5">
          <reference field="3" count="6">
            <x v="41"/>
            <x v="45"/>
            <x v="63"/>
            <x v="71"/>
            <x v="72"/>
            <x v="101"/>
          </reference>
          <reference field="5" count="1" selected="0">
            <x v="3"/>
          </reference>
          <reference field="6" count="1" selected="0">
            <x v="1"/>
          </reference>
          <reference field="7" count="1" selected="0">
            <x v="1"/>
          </reference>
          <reference field="8" count="1" selected="0">
            <x v="32"/>
          </reference>
        </references>
      </pivotArea>
    </format>
    <format dxfId="140">
      <pivotArea dataOnly="0" labelOnly="1" outline="0" fieldPosition="0">
        <references count="5">
          <reference field="3" count="5">
            <x v="23"/>
            <x v="52"/>
            <x v="64"/>
            <x v="84"/>
            <x v="95"/>
          </reference>
          <reference field="5" count="1" selected="0">
            <x v="3"/>
          </reference>
          <reference field="6" count="1" selected="0">
            <x v="1"/>
          </reference>
          <reference field="7" count="1" selected="0">
            <x v="1"/>
          </reference>
          <reference field="8" count="1" selected="0">
            <x v="34"/>
          </reference>
        </references>
      </pivotArea>
    </format>
    <format dxfId="139">
      <pivotArea dataOnly="0" labelOnly="1" outline="0" fieldPosition="0">
        <references count="5">
          <reference field="3" count="8">
            <x v="5"/>
            <x v="25"/>
            <x v="42"/>
            <x v="50"/>
            <x v="56"/>
            <x v="65"/>
            <x v="83"/>
            <x v="87"/>
          </reference>
          <reference field="5" count="1" selected="0">
            <x v="5"/>
          </reference>
          <reference field="6" count="1" selected="0">
            <x v="1"/>
          </reference>
          <reference field="7" count="1" selected="0">
            <x v="0"/>
          </reference>
          <reference field="8" count="1" selected="0">
            <x v="37"/>
          </reference>
        </references>
      </pivotArea>
    </format>
    <format dxfId="138">
      <pivotArea dataOnly="0" labelOnly="1" outline="0" fieldPosition="0">
        <references count="5">
          <reference field="3" count="7">
            <x v="7"/>
            <x v="8"/>
            <x v="20"/>
            <x v="44"/>
            <x v="89"/>
            <x v="94"/>
            <x v="103"/>
          </reference>
          <reference field="5" count="1" selected="0">
            <x v="5"/>
          </reference>
          <reference field="6" count="1" selected="0">
            <x v="1"/>
          </reference>
          <reference field="7" count="1" selected="0">
            <x v="0"/>
          </reference>
          <reference field="8" count="1" selected="0">
            <x v="35"/>
          </reference>
        </references>
      </pivotArea>
    </format>
    <format dxfId="137">
      <pivotArea dataOnly="0" labelOnly="1" outline="0" fieldPosition="0">
        <references count="5">
          <reference field="3" count="6">
            <x v="29"/>
            <x v="47"/>
            <x v="55"/>
            <x v="66"/>
            <x v="90"/>
            <x v="92"/>
          </reference>
          <reference field="5" count="1" selected="0">
            <x v="5"/>
          </reference>
          <reference field="6" count="1" selected="0">
            <x v="2"/>
          </reference>
          <reference field="7" count="1" selected="0">
            <x v="3"/>
          </reference>
          <reference field="8" count="1" selected="0">
            <x v="36"/>
          </reference>
        </references>
      </pivotArea>
    </format>
    <format dxfId="136">
      <pivotArea dataOnly="0" labelOnly="1" outline="0" fieldPosition="0">
        <references count="5">
          <reference field="3" count="4">
            <x v="51"/>
            <x v="67"/>
            <x v="93"/>
            <x v="100"/>
          </reference>
          <reference field="5" count="1" selected="0">
            <x v="5"/>
          </reference>
          <reference field="6" count="1" selected="0">
            <x v="3"/>
          </reference>
          <reference field="7" count="1" selected="0">
            <x v="2"/>
          </reference>
          <reference field="8" count="1" selected="0">
            <x v="33"/>
          </reference>
        </references>
      </pivotArea>
    </format>
    <format dxfId="135">
      <pivotArea dataOnly="0" labelOnly="1" outline="0" axis="axisValues" fieldPosition="0"/>
    </format>
    <format dxfId="134">
      <pivotArea dataOnly="0" labelOnly="1" outline="0" axis="axisValues" fieldPosition="0"/>
    </format>
    <format dxfId="133">
      <pivotArea outline="0" fieldPosition="0">
        <references count="1">
          <reference field="4294967294" count="1">
            <x v="0"/>
          </reference>
        </references>
      </pivotArea>
    </format>
    <format dxfId="132">
      <pivotArea field="5" type="button" dataOnly="0" labelOnly="1" outline="0" axis="axisRow" fieldPosition="0"/>
    </format>
    <format dxfId="131">
      <pivotArea dataOnly="0" labelOnly="1" outline="0" fieldPosition="0">
        <references count="1">
          <reference field="5" count="1">
            <x v="5"/>
          </reference>
        </references>
      </pivotArea>
    </format>
    <format dxfId="130">
      <pivotArea dataOnly="0" labelOnly="1" outline="0" fieldPosition="0">
        <references count="1">
          <reference field="5" count="1">
            <x v="3"/>
          </reference>
        </references>
      </pivotArea>
    </format>
    <format dxfId="129">
      <pivotArea type="all" dataOnly="0" outline="0" fieldPosition="0"/>
    </format>
    <format dxfId="128">
      <pivotArea outline="0" collapsedLevelsAreSubtotals="1" fieldPosition="0"/>
    </format>
    <format dxfId="127">
      <pivotArea dataOnly="0" labelOnly="1" outline="0" fieldPosition="0">
        <references count="1">
          <reference field="5" count="0"/>
        </references>
      </pivotArea>
    </format>
    <format dxfId="126">
      <pivotArea dataOnly="0" labelOnly="1" outline="0" fieldPosition="0">
        <references count="2">
          <reference field="5" count="1" selected="0">
            <x v="3"/>
          </reference>
          <reference field="6" count="1">
            <x v="1"/>
          </reference>
        </references>
      </pivotArea>
    </format>
    <format dxfId="125">
      <pivotArea dataOnly="0" labelOnly="1" outline="0" fieldPosition="0">
        <references count="2">
          <reference field="5" count="1" selected="0">
            <x v="5"/>
          </reference>
          <reference field="6" count="0"/>
        </references>
      </pivotArea>
    </format>
    <format dxfId="124">
      <pivotArea dataOnly="0" labelOnly="1" outline="0" fieldPosition="0">
        <references count="3">
          <reference field="5" count="1" selected="0">
            <x v="3"/>
          </reference>
          <reference field="6" count="1" selected="0">
            <x v="1"/>
          </reference>
          <reference field="7" count="1">
            <x v="1"/>
          </reference>
        </references>
      </pivotArea>
    </format>
    <format dxfId="123">
      <pivotArea dataOnly="0" labelOnly="1" outline="0" fieldPosition="0">
        <references count="3">
          <reference field="5" count="1" selected="0">
            <x v="5"/>
          </reference>
          <reference field="6" count="1" selected="0">
            <x v="1"/>
          </reference>
          <reference field="7" count="1">
            <x v="0"/>
          </reference>
        </references>
      </pivotArea>
    </format>
    <format dxfId="122">
      <pivotArea dataOnly="0" labelOnly="1" outline="0" fieldPosition="0">
        <references count="3">
          <reference field="5" count="1" selected="0">
            <x v="5"/>
          </reference>
          <reference field="6" count="1" selected="0">
            <x v="2"/>
          </reference>
          <reference field="7" count="1">
            <x v="3"/>
          </reference>
        </references>
      </pivotArea>
    </format>
    <format dxfId="121">
      <pivotArea dataOnly="0" labelOnly="1" outline="0" fieldPosition="0">
        <references count="3">
          <reference field="5" count="1" selected="0">
            <x v="5"/>
          </reference>
          <reference field="6" count="1" selected="0">
            <x v="3"/>
          </reference>
          <reference field="7" count="1">
            <x v="2"/>
          </reference>
        </references>
      </pivotArea>
    </format>
    <format dxfId="120">
      <pivotArea dataOnly="0" labelOnly="1" outline="0" fieldPosition="0">
        <references count="4">
          <reference field="5" count="1" selected="0">
            <x v="3"/>
          </reference>
          <reference field="6" count="1" selected="0">
            <x v="1"/>
          </reference>
          <reference field="7" count="1" selected="0">
            <x v="1"/>
          </reference>
          <reference field="8" count="4">
            <x v="30"/>
            <x v="31"/>
            <x v="32"/>
            <x v="34"/>
          </reference>
        </references>
      </pivotArea>
    </format>
    <format dxfId="119">
      <pivotArea dataOnly="0" labelOnly="1" outline="0" fieldPosition="0">
        <references count="4">
          <reference field="5" count="1" selected="0">
            <x v="5"/>
          </reference>
          <reference field="6" count="1" selected="0">
            <x v="1"/>
          </reference>
          <reference field="7" count="1" selected="0">
            <x v="0"/>
          </reference>
          <reference field="8" count="2">
            <x v="35"/>
            <x v="37"/>
          </reference>
        </references>
      </pivotArea>
    </format>
    <format dxfId="118">
      <pivotArea dataOnly="0" labelOnly="1" outline="0" fieldPosition="0">
        <references count="4">
          <reference field="5" count="1" selected="0">
            <x v="5"/>
          </reference>
          <reference field="6" count="1" selected="0">
            <x v="2"/>
          </reference>
          <reference field="7" count="1" selected="0">
            <x v="3"/>
          </reference>
          <reference field="8" count="1">
            <x v="36"/>
          </reference>
        </references>
      </pivotArea>
    </format>
    <format dxfId="117">
      <pivotArea dataOnly="0" labelOnly="1" outline="0" fieldPosition="0">
        <references count="4">
          <reference field="5" count="1" selected="0">
            <x v="5"/>
          </reference>
          <reference field="6" count="1" selected="0">
            <x v="3"/>
          </reference>
          <reference field="7" count="1" selected="0">
            <x v="2"/>
          </reference>
          <reference field="8" count="1">
            <x v="33"/>
          </reference>
        </references>
      </pivotArea>
    </format>
    <format dxfId="116">
      <pivotArea dataOnly="0" labelOnly="1" outline="0" axis="axisValues" fieldPosition="0"/>
    </format>
  </formats>
  <conditionalFormats count="1">
    <conditionalFormat scope="data" priority="1">
      <pivotAreas count="1">
        <pivotArea outline="0" fieldPosition="0">
          <references count="1">
            <reference field="4294967294" count="1" selected="0">
              <x v="0"/>
            </reference>
          </references>
        </pivotArea>
      </pivotAreas>
    </conditionalFormat>
  </conditionalFormats>
  <pivotTableStyleInfo name="PTstyle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de" xr10:uid="{C8136D94-D18F-4C62-9B6B-787EDC145DD7}" sourceName="code">
  <extLst>
    <x:ext xmlns:x15="http://schemas.microsoft.com/office/spreadsheetml/2010/11/main" uri="{2F2917AC-EB37-4324-AD4E-5DD8C200BD13}">
      <x15:tableSlicerCache tableId="1" column="1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étence" xr10:uid="{A142C7AD-8B85-4A23-B77F-016B7BB27266}" sourceName="compétence">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de" xr10:uid="{AE697565-4A82-464C-9384-9454D814006C}" cache="Slicer_code" caption="code" columnCount="10" style="SlicerStyleLight6" rowHeight="252000"/>
  <slicer name="compétence" xr10:uid="{C0F2E178-3019-4742-AADE-2915ADF0AD37}" cache="Slicer_compétence" caption="compétence" style="SlicerStyleLight6"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8A500F-87EA-4DA8-87E1-DF2829BF3B60}" name="t_tools_frmwk" displayName="t_tools_frmwk" ref="I2:Q165" totalsRowShown="0" headerRowDxfId="115" dataDxfId="114">
  <autoFilter ref="I2:Q165" xr:uid="{9E8A500F-87EA-4DA8-87E1-DF2829BF3B60}"/>
  <tableColumns count="9">
    <tableColumn id="1" xr3:uid="{2A0FE69C-6733-4434-AA69-9DCBF22CF059}" name="skill_id" dataDxfId="113"/>
    <tableColumn id="2" xr3:uid="{845CC274-1E7D-4C9C-88DB-E3A3B1F5484D}" name="skill_name" dataDxfId="112"/>
    <tableColumn id="3" xr3:uid="{E7063E15-42DA-48E4-914A-B93BD95C22AE}" name="skill_cat" dataDxfId="111"/>
    <tableColumn id="4" xr3:uid="{F876B3A9-D4B6-46EE-B6DC-B34ED743A2C7}" name="skill_subcat" dataDxfId="110"/>
    <tableColumn id="5" xr3:uid="{5DD58376-F673-43F7-9B6F-7116FF0C5D50}" name="skill_descr" dataDxfId="109"/>
    <tableColumn id="17" xr3:uid="{AAE1DB9F-DB2D-4D89-8332-6D4432FEDF6F}" name="FR_skill_name" dataDxfId="108"/>
    <tableColumn id="18" xr3:uid="{BC42935B-5D2C-4CF0-884A-354688C7A0E1}" name="FR_skill_cat" dataDxfId="107"/>
    <tableColumn id="19" xr3:uid="{A489E218-154A-4217-9D71-F41C8D6B1F02}" name="FR_skill_subcat" dataDxfId="106"/>
    <tableColumn id="20" xr3:uid="{08C3260E-4CDF-4A3F-91B0-50FD204C4D94}" name="FR_skill_descr" dataDxfId="105"/>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60E041-9F61-4266-BBFB-521C011F7BBD}" name="t_tools_colors" displayName="t_tools_colors" ref="A14:D20" totalsRowShown="0" headerRowDxfId="104" dataDxfId="103">
  <autoFilter ref="A14:D20" xr:uid="{6C60E041-9F61-4266-BBFB-521C011F7BBD}"/>
  <tableColumns count="4">
    <tableColumn id="1" xr3:uid="{87D27DDF-332F-4633-84B0-BE0CA6C0899D}" name="skill_cat" dataDxfId="102"/>
    <tableColumn id="2" xr3:uid="{49940A50-4F92-4EA1-ACD9-DE07C2050501}" name="color_sfia" dataDxfId="101"/>
    <tableColumn id="3" xr3:uid="{AEB74283-3E63-4BB4-961E-8629DF5B6D6D}" name="color1" dataDxfId="100"/>
    <tableColumn id="5" xr3:uid="{4A7FC57B-E9EB-4B78-9F4D-EA5173BEC5D9}" name="color2" dataDxfId="99"/>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03C130B-492E-4C89-85CD-F54376E4C135}" name="t_tools_feelings" displayName="t_tools_feelings" ref="D3:F5" totalsRowShown="0" headerRowDxfId="98" dataDxfId="97">
  <autoFilter ref="D3:F5" xr:uid="{803C130B-492E-4C89-85CD-F54376E4C135}"/>
  <tableColumns count="3">
    <tableColumn id="1" xr3:uid="{E6C26967-5995-4C18-8AD4-3B56C15089C2}" name="feelings" dataDxfId="96"/>
    <tableColumn id="2" xr3:uid="{D275A09C-C3D4-43AD-8796-5CA8DD44342C}" name="coeff" dataDxfId="95"/>
    <tableColumn id="4" xr3:uid="{5A00367D-7248-4E0E-9330-4B733A4E8D0F}" name="descr" dataDxfId="94"/>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05E9BA-17CC-4A29-8E20-EC5635E88D89}" name="t_tools_priorities" displayName="t_tools_priorities" ref="A8:F11" totalsRowShown="0" headerRowDxfId="93" dataDxfId="92">
  <autoFilter ref="A8:F11" xr:uid="{0905E9BA-17CC-4A29-8E20-EC5635E88D89}"/>
  <sortState xmlns:xlrd2="http://schemas.microsoft.com/office/spreadsheetml/2017/richdata2" ref="D9:F11">
    <sortCondition ref="E8:E11"/>
  </sortState>
  <tableColumns count="6">
    <tableColumn id="4" xr3:uid="{5FAF0790-B488-4113-B560-11451C2C9DFC}" name="importance" dataDxfId="91"/>
    <tableColumn id="5" xr3:uid="{9EA766A4-686D-45D7-A8D6-0FCE762531CB}" name="coeff" dataDxfId="90"/>
    <tableColumn id="6" xr3:uid="{5F57E592-4FBB-45AE-8BA1-2E6A7ADDBF4B}" name="threshold" dataDxfId="89"/>
    <tableColumn id="1" xr3:uid="{D15CBD13-6B39-4A56-8947-E2667433F10E}" name="min" dataDxfId="88"/>
    <tableColumn id="2" xr3:uid="{82C3CC9F-918F-4279-AA98-F476A838418E}" name="max" dataDxfId="87"/>
    <tableColumn id="3" xr3:uid="{C1FBDDA1-914C-4630-8D7C-7E24ECABF6E4}" name="descr" dataDxfId="86"/>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7B9F29-2EA6-4470-B3B4-81A84A329D5C}" name="t_input" displayName="t_input" ref="B14:N123" totalsRowShown="0" dataDxfId="85">
  <autoFilter ref="B14:N123" xr:uid="{507B9F29-2EA6-4470-B3B4-81A84A329D5C}"/>
  <tableColumns count="13">
    <tableColumn id="12" xr3:uid="{7F0434A7-C9BF-410A-9600-AD43B0F3FD17}" name="code" dataDxfId="84"/>
    <tableColumn id="5" xr3:uid="{68AEB151-F01D-4836-91C8-587C0B4DF054}" name="compétence" dataDxfId="83"/>
    <tableColumn id="6" xr3:uid="{158C70EA-0F9C-4AF6-A6C9-8BB2EB9AD12B}" name="description" dataDxfId="82"/>
    <tableColumn id="7" xr3:uid="{A9FF3ECE-4B39-49E0-93BA-42226FD78F1C}" name="observable" dataDxfId="81"/>
    <tableColumn id="8" xr3:uid="{27161329-4D73-4C97-820D-1CD173E1F087}" name="feeling" dataDxfId="80"/>
    <tableColumn id="9" xr3:uid="{A69FC7FF-D314-4981-9ED4-9EAAC9E61E5B}" name="priorité" dataDxfId="79"/>
    <tableColumn id="14" xr3:uid="{E1E1B1A4-DEF9-4572-B772-202E3431C90B}" name="avg_priority" dataDxfId="78">
      <calculatedColumnFormula>AVERAGEIFS(t_input[priorité],t_input[code],t_input[[#This Row],[code]])</calculatedColumnFormula>
    </tableColumn>
    <tableColumn id="3" xr3:uid="{DB0D25D4-BFF6-4C54-8C5C-611B97BC8094}" name="weight" dataDxfId="77">
      <calculatedColumnFormula>IFERROR(INDEX(t_tools_feelings[coeff],MATCH(t_input[[#This Row],[feeling]],t_tools_feelings[feelings],0))/(t_input[[#This Row],[priorité]]*t_input[[#This Row],[priorité]]),0)</calculatedColumnFormula>
    </tableColumn>
    <tableColumn id="4" xr3:uid="{6DB54062-6768-4FE9-9B6F-2551D8EB73B2}" name="sum_skill" dataDxfId="76">
      <calculatedColumnFormula>SUMIFS(t_input[weight],t_input[code],t_input[[#This Row],[code]])</calculatedColumnFormula>
    </tableColumn>
    <tableColumn id="10" xr3:uid="{A9193B7E-5AFC-4FBE-A622-3FD22F8C8DD4}" name="sum_module" dataDxfId="75">
      <calculatedColumnFormula>SUM(t_input[sum_skill])</calculatedColumnFormula>
    </tableColumn>
    <tableColumn id="11" xr3:uid="{59F45AF8-14CD-4E12-B412-CAB65C694706}" name="%obs" dataDxfId="74" dataCellStyle="Percent">
      <calculatedColumnFormula>t_input[[#This Row],[sum_skill]]/t_input[[#This Row],[sum_module]]</calculatedColumnFormula>
    </tableColumn>
    <tableColumn id="13" xr3:uid="{376F3118-F504-410C-9B93-1C31C116F9D3}" name="%skill" dataDxfId="73" dataCellStyle="Percent">
      <calculatedColumnFormula>SUMIFS(t_input[%obs],t_input[code],t_input[[#This Row],[code]])</calculatedColumnFormula>
    </tableColumn>
    <tableColumn id="15" xr3:uid="{1E506289-E9E3-4714-A47B-9E7FE6D656DF}" name="importance" dataDxfId="72">
      <calculatedColumnFormula>IF(t_input[[#This Row],[%skill]]&gt;LARGE(t_tools_priorities[threshold],1),"Fondamentales",IF(t_input[[#This Row],[%skill]]&gt;LARGE(t_tools_priorities[threshold],2),"Secondaires","Accessoires"))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5.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sfia-online.org/fr/"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34CD9-1E71-4BAD-8330-CA5EE92F2426}">
  <dimension ref="A1:Q165"/>
  <sheetViews>
    <sheetView workbookViewId="0">
      <selection activeCell="C10" sqref="C10"/>
    </sheetView>
  </sheetViews>
  <sheetFormatPr defaultRowHeight="15" outlineLevelCol="1" x14ac:dyDescent="0.25"/>
  <cols>
    <col min="1" max="1" width="9.140625" customWidth="1" outlineLevel="1"/>
    <col min="2" max="2" width="13.5703125" customWidth="1" outlineLevel="1"/>
    <col min="3" max="5" width="9.140625" customWidth="1" outlineLevel="1"/>
    <col min="6" max="6" width="51.7109375" customWidth="1" outlineLevel="1"/>
    <col min="7" max="7" width="9.140625" customWidth="1" outlineLevel="1"/>
    <col min="8" max="8" width="2.7109375" style="10" customWidth="1" outlineLevel="1"/>
    <col min="9" max="9" width="10.85546875" customWidth="1"/>
    <col min="10" max="12" width="20.7109375" customWidth="1"/>
    <col min="13" max="13" width="60.7109375" customWidth="1"/>
    <col min="14" max="16" width="20.7109375" customWidth="1"/>
    <col min="17" max="17" width="60.7109375" customWidth="1"/>
    <col min="18" max="18" width="51.85546875" customWidth="1"/>
    <col min="20" max="20" width="14.42578125" customWidth="1"/>
    <col min="21" max="24" width="10.140625" customWidth="1"/>
    <col min="25" max="25" width="33.7109375" customWidth="1"/>
  </cols>
  <sheetData>
    <row r="1" spans="1:17" ht="22.5" customHeight="1" x14ac:dyDescent="0.25">
      <c r="A1" s="9" t="s">
        <v>1035</v>
      </c>
    </row>
    <row r="2" spans="1:17" x14ac:dyDescent="0.25">
      <c r="I2" t="s">
        <v>667</v>
      </c>
      <c r="J2" t="s">
        <v>145</v>
      </c>
      <c r="K2" t="s">
        <v>146</v>
      </c>
      <c r="L2" t="s">
        <v>147</v>
      </c>
      <c r="M2" t="s">
        <v>0</v>
      </c>
      <c r="N2" t="s">
        <v>668</v>
      </c>
      <c r="O2" t="s">
        <v>669</v>
      </c>
      <c r="P2" t="s">
        <v>670</v>
      </c>
      <c r="Q2" t="s">
        <v>671</v>
      </c>
    </row>
    <row r="3" spans="1:17" x14ac:dyDescent="0.25">
      <c r="D3" t="s">
        <v>1018</v>
      </c>
      <c r="E3" t="s">
        <v>1017</v>
      </c>
      <c r="F3" t="s">
        <v>1020</v>
      </c>
      <c r="I3" s="2" t="s">
        <v>148</v>
      </c>
      <c r="J3" s="2" t="s">
        <v>672</v>
      </c>
      <c r="K3" s="2" t="s">
        <v>149</v>
      </c>
      <c r="L3" s="2" t="s">
        <v>673</v>
      </c>
      <c r="M3" s="2" t="s">
        <v>674</v>
      </c>
      <c r="N3" s="2" t="s">
        <v>410</v>
      </c>
      <c r="O3" s="2" t="s">
        <v>411</v>
      </c>
      <c r="P3" s="2" t="s">
        <v>412</v>
      </c>
      <c r="Q3" s="2" t="s">
        <v>140</v>
      </c>
    </row>
    <row r="4" spans="1:17" x14ac:dyDescent="0.25">
      <c r="D4" t="s">
        <v>2</v>
      </c>
      <c r="E4">
        <v>1</v>
      </c>
      <c r="F4" t="s">
        <v>1033</v>
      </c>
      <c r="I4" s="2" t="s">
        <v>150</v>
      </c>
      <c r="J4" s="2" t="s">
        <v>675</v>
      </c>
      <c r="K4" s="2" t="s">
        <v>151</v>
      </c>
      <c r="L4" s="2" t="s">
        <v>676</v>
      </c>
      <c r="M4" s="2" t="s">
        <v>677</v>
      </c>
      <c r="N4" s="2" t="s">
        <v>413</v>
      </c>
      <c r="O4" s="2" t="s">
        <v>414</v>
      </c>
      <c r="P4" s="2" t="s">
        <v>415</v>
      </c>
      <c r="Q4" s="2" t="s">
        <v>416</v>
      </c>
    </row>
    <row r="5" spans="1:17" x14ac:dyDescent="0.25">
      <c r="D5" t="s">
        <v>3</v>
      </c>
      <c r="E5">
        <v>0.1</v>
      </c>
      <c r="F5" t="s">
        <v>1034</v>
      </c>
      <c r="I5" s="2" t="s">
        <v>152</v>
      </c>
      <c r="J5" s="2" t="s">
        <v>678</v>
      </c>
      <c r="K5" s="2" t="s">
        <v>149</v>
      </c>
      <c r="L5" s="2" t="s">
        <v>679</v>
      </c>
      <c r="M5" s="2" t="s">
        <v>680</v>
      </c>
      <c r="N5" s="2" t="s">
        <v>417</v>
      </c>
      <c r="O5" s="2" t="s">
        <v>411</v>
      </c>
      <c r="P5" s="2" t="s">
        <v>418</v>
      </c>
      <c r="Q5" s="2" t="s">
        <v>419</v>
      </c>
    </row>
    <row r="6" spans="1:17" x14ac:dyDescent="0.25">
      <c r="I6" s="2" t="s">
        <v>153</v>
      </c>
      <c r="J6" s="2" t="s">
        <v>681</v>
      </c>
      <c r="K6" s="2" t="s">
        <v>154</v>
      </c>
      <c r="L6" s="2" t="s">
        <v>682</v>
      </c>
      <c r="M6" s="2" t="s">
        <v>683</v>
      </c>
      <c r="N6" s="2" t="s">
        <v>420</v>
      </c>
      <c r="O6" s="2" t="s">
        <v>421</v>
      </c>
      <c r="P6" s="2" t="s">
        <v>422</v>
      </c>
      <c r="Q6" s="2" t="s">
        <v>423</v>
      </c>
    </row>
    <row r="7" spans="1:17" x14ac:dyDescent="0.25">
      <c r="I7" s="2" t="s">
        <v>155</v>
      </c>
      <c r="J7" s="2" t="s">
        <v>684</v>
      </c>
      <c r="K7" s="2" t="s">
        <v>156</v>
      </c>
      <c r="L7" s="2" t="s">
        <v>685</v>
      </c>
      <c r="M7" s="2" t="s">
        <v>686</v>
      </c>
      <c r="N7" s="2" t="s">
        <v>408</v>
      </c>
      <c r="O7" s="2" t="s">
        <v>424</v>
      </c>
      <c r="P7" s="2" t="s">
        <v>425</v>
      </c>
      <c r="Q7" s="2" t="s">
        <v>409</v>
      </c>
    </row>
    <row r="8" spans="1:17" x14ac:dyDescent="0.25">
      <c r="A8" t="s">
        <v>1022</v>
      </c>
      <c r="B8" t="s">
        <v>1017</v>
      </c>
      <c r="C8" t="s">
        <v>1023</v>
      </c>
      <c r="D8" t="s">
        <v>1021</v>
      </c>
      <c r="E8" t="s">
        <v>1019</v>
      </c>
      <c r="F8" t="s">
        <v>1020</v>
      </c>
      <c r="I8" s="2" t="s">
        <v>157</v>
      </c>
      <c r="J8" s="2" t="s">
        <v>687</v>
      </c>
      <c r="K8" s="2" t="s">
        <v>158</v>
      </c>
      <c r="L8" s="2" t="s">
        <v>688</v>
      </c>
      <c r="M8" s="2" t="s">
        <v>689</v>
      </c>
      <c r="N8" s="2" t="s">
        <v>426</v>
      </c>
      <c r="O8" s="2" t="s">
        <v>427</v>
      </c>
      <c r="P8" s="2" t="s">
        <v>428</v>
      </c>
      <c r="Q8" s="2" t="s">
        <v>429</v>
      </c>
    </row>
    <row r="9" spans="1:17" x14ac:dyDescent="0.25">
      <c r="A9" t="s">
        <v>1032</v>
      </c>
      <c r="B9" s="11">
        <v>100</v>
      </c>
      <c r="C9" s="12">
        <v>0.1</v>
      </c>
      <c r="D9">
        <v>1</v>
      </c>
      <c r="E9">
        <v>3</v>
      </c>
      <c r="F9" t="s">
        <v>1037</v>
      </c>
      <c r="I9" s="2" t="s">
        <v>159</v>
      </c>
      <c r="J9" s="2" t="s">
        <v>690</v>
      </c>
      <c r="K9" s="2" t="s">
        <v>156</v>
      </c>
      <c r="L9" s="2" t="s">
        <v>691</v>
      </c>
      <c r="M9" s="2" t="s">
        <v>692</v>
      </c>
      <c r="N9" s="2" t="s">
        <v>430</v>
      </c>
      <c r="O9" s="2" t="s">
        <v>424</v>
      </c>
      <c r="P9" s="2" t="s">
        <v>431</v>
      </c>
      <c r="Q9" s="2" t="s">
        <v>432</v>
      </c>
    </row>
    <row r="10" spans="1:17" x14ac:dyDescent="0.25">
      <c r="A10" t="s">
        <v>1024</v>
      </c>
      <c r="B10" s="11">
        <v>10</v>
      </c>
      <c r="C10" s="12">
        <v>0.02</v>
      </c>
      <c r="D10">
        <v>4</v>
      </c>
      <c r="E10">
        <v>10</v>
      </c>
      <c r="F10" t="s">
        <v>1038</v>
      </c>
      <c r="I10" s="2" t="s">
        <v>160</v>
      </c>
      <c r="J10" s="2" t="s">
        <v>693</v>
      </c>
      <c r="K10" s="2" t="s">
        <v>158</v>
      </c>
      <c r="L10" s="2" t="s">
        <v>694</v>
      </c>
      <c r="M10" s="2" t="s">
        <v>695</v>
      </c>
      <c r="N10" s="2" t="s">
        <v>5</v>
      </c>
      <c r="O10" s="2" t="s">
        <v>427</v>
      </c>
      <c r="P10" s="2" t="s">
        <v>433</v>
      </c>
      <c r="Q10" s="2" t="s">
        <v>6</v>
      </c>
    </row>
    <row r="11" spans="1:17" x14ac:dyDescent="0.25">
      <c r="A11" t="s">
        <v>1036</v>
      </c>
      <c r="B11" s="11">
        <v>1</v>
      </c>
      <c r="C11" s="12">
        <v>0</v>
      </c>
      <c r="D11">
        <v>11</v>
      </c>
      <c r="E11">
        <v>999</v>
      </c>
      <c r="F11" t="s">
        <v>1039</v>
      </c>
      <c r="I11" s="2" t="s">
        <v>161</v>
      </c>
      <c r="J11" s="2" t="s">
        <v>696</v>
      </c>
      <c r="K11" s="2" t="s">
        <v>158</v>
      </c>
      <c r="L11" s="2" t="s">
        <v>697</v>
      </c>
      <c r="M11" s="2" t="s">
        <v>698</v>
      </c>
      <c r="N11" s="2" t="s">
        <v>434</v>
      </c>
      <c r="O11" s="2" t="s">
        <v>427</v>
      </c>
      <c r="P11" s="2" t="s">
        <v>435</v>
      </c>
      <c r="Q11" s="2" t="s">
        <v>436</v>
      </c>
    </row>
    <row r="12" spans="1:17" x14ac:dyDescent="0.25">
      <c r="I12" s="2" t="s">
        <v>162</v>
      </c>
      <c r="J12" s="2" t="s">
        <v>163</v>
      </c>
      <c r="K12" s="2" t="s">
        <v>156</v>
      </c>
      <c r="L12" s="2" t="s">
        <v>685</v>
      </c>
      <c r="M12" s="2" t="s">
        <v>699</v>
      </c>
      <c r="N12" s="2" t="s">
        <v>163</v>
      </c>
      <c r="O12" s="2" t="s">
        <v>424</v>
      </c>
      <c r="P12" s="2" t="s">
        <v>425</v>
      </c>
      <c r="Q12" s="2" t="s">
        <v>437</v>
      </c>
    </row>
    <row r="13" spans="1:17" x14ac:dyDescent="0.25">
      <c r="I13" s="2" t="s">
        <v>164</v>
      </c>
      <c r="J13" s="2" t="s">
        <v>700</v>
      </c>
      <c r="K13" s="2" t="s">
        <v>151</v>
      </c>
      <c r="L13" s="2" t="s">
        <v>701</v>
      </c>
      <c r="M13" s="2" t="s">
        <v>702</v>
      </c>
      <c r="N13" s="2" t="s">
        <v>438</v>
      </c>
      <c r="O13" s="2" t="s">
        <v>414</v>
      </c>
      <c r="P13" s="2" t="s">
        <v>439</v>
      </c>
      <c r="Q13" s="2" t="s">
        <v>440</v>
      </c>
    </row>
    <row r="14" spans="1:17" x14ac:dyDescent="0.25">
      <c r="A14" t="s">
        <v>146</v>
      </c>
      <c r="B14" t="s">
        <v>664</v>
      </c>
      <c r="C14" t="s">
        <v>665</v>
      </c>
      <c r="D14" t="s">
        <v>666</v>
      </c>
      <c r="I14" s="2" t="s">
        <v>165</v>
      </c>
      <c r="J14" s="2" t="s">
        <v>703</v>
      </c>
      <c r="K14" s="2" t="s">
        <v>158</v>
      </c>
      <c r="L14" s="2" t="s">
        <v>694</v>
      </c>
      <c r="M14" s="2" t="s">
        <v>704</v>
      </c>
      <c r="N14" s="2" t="s">
        <v>394</v>
      </c>
      <c r="O14" s="2" t="s">
        <v>427</v>
      </c>
      <c r="P14" s="2" t="s">
        <v>433</v>
      </c>
      <c r="Q14" s="2" t="s">
        <v>395</v>
      </c>
    </row>
    <row r="15" spans="1:17" x14ac:dyDescent="0.25">
      <c r="A15" t="s">
        <v>448</v>
      </c>
      <c r="B15" t="s">
        <v>328</v>
      </c>
      <c r="C15" t="s">
        <v>334</v>
      </c>
      <c r="D15" t="s">
        <v>338</v>
      </c>
      <c r="I15" s="2" t="s">
        <v>166</v>
      </c>
      <c r="J15" s="2" t="s">
        <v>705</v>
      </c>
      <c r="K15" s="2" t="s">
        <v>156</v>
      </c>
      <c r="L15" s="2" t="s">
        <v>706</v>
      </c>
      <c r="M15" s="2" t="s">
        <v>707</v>
      </c>
      <c r="N15" s="2" t="s">
        <v>404</v>
      </c>
      <c r="O15" s="2" t="s">
        <v>424</v>
      </c>
      <c r="P15" s="2" t="s">
        <v>441</v>
      </c>
      <c r="Q15" s="2" t="s">
        <v>405</v>
      </c>
    </row>
    <row r="16" spans="1:17" x14ac:dyDescent="0.25">
      <c r="A16" t="s">
        <v>427</v>
      </c>
      <c r="B16" t="s">
        <v>329</v>
      </c>
      <c r="C16" t="s">
        <v>331</v>
      </c>
      <c r="D16" t="s">
        <v>337</v>
      </c>
      <c r="I16" s="2" t="s">
        <v>167</v>
      </c>
      <c r="J16" s="2" t="s">
        <v>708</v>
      </c>
      <c r="K16" s="2" t="s">
        <v>154</v>
      </c>
      <c r="L16" s="2" t="s">
        <v>709</v>
      </c>
      <c r="M16" s="2" t="s">
        <v>710</v>
      </c>
      <c r="N16" s="2" t="s">
        <v>442</v>
      </c>
      <c r="O16" s="2" t="s">
        <v>421</v>
      </c>
      <c r="P16" s="2" t="s">
        <v>443</v>
      </c>
      <c r="Q16" s="2" t="s">
        <v>444</v>
      </c>
    </row>
    <row r="17" spans="1:17" x14ac:dyDescent="0.25">
      <c r="A17" t="s">
        <v>411</v>
      </c>
      <c r="B17" t="s">
        <v>327</v>
      </c>
      <c r="C17" t="s">
        <v>330</v>
      </c>
      <c r="D17" t="s">
        <v>336</v>
      </c>
      <c r="I17" s="2" t="s">
        <v>168</v>
      </c>
      <c r="J17" s="2" t="s">
        <v>711</v>
      </c>
      <c r="K17" s="2" t="s">
        <v>149</v>
      </c>
      <c r="L17" s="2" t="s">
        <v>712</v>
      </c>
      <c r="M17" s="2" t="s">
        <v>713</v>
      </c>
      <c r="N17" s="2" t="s">
        <v>445</v>
      </c>
      <c r="O17" s="2" t="s">
        <v>411</v>
      </c>
      <c r="P17" s="2" t="s">
        <v>446</v>
      </c>
      <c r="Q17" s="2" t="s">
        <v>447</v>
      </c>
    </row>
    <row r="18" spans="1:17" x14ac:dyDescent="0.25">
      <c r="A18" t="s">
        <v>486</v>
      </c>
      <c r="B18" t="s">
        <v>326</v>
      </c>
      <c r="C18" t="s">
        <v>332</v>
      </c>
      <c r="D18" t="s">
        <v>340</v>
      </c>
      <c r="I18" s="2" t="s">
        <v>169</v>
      </c>
      <c r="J18" s="2" t="s">
        <v>714</v>
      </c>
      <c r="K18" s="2" t="s">
        <v>170</v>
      </c>
      <c r="L18" s="2" t="s">
        <v>715</v>
      </c>
      <c r="M18" s="2" t="s">
        <v>716</v>
      </c>
      <c r="N18" s="2" t="s">
        <v>107</v>
      </c>
      <c r="O18" s="2" t="s">
        <v>448</v>
      </c>
      <c r="P18" s="2" t="s">
        <v>449</v>
      </c>
      <c r="Q18" s="2" t="s">
        <v>108</v>
      </c>
    </row>
    <row r="19" spans="1:17" x14ac:dyDescent="0.25">
      <c r="A19" t="s">
        <v>421</v>
      </c>
      <c r="B19" t="s">
        <v>325</v>
      </c>
      <c r="C19" t="s">
        <v>333</v>
      </c>
      <c r="D19" t="s">
        <v>339</v>
      </c>
      <c r="I19" s="2" t="s">
        <v>171</v>
      </c>
      <c r="J19" s="2" t="s">
        <v>717</v>
      </c>
      <c r="K19" s="2" t="s">
        <v>170</v>
      </c>
      <c r="L19" s="2" t="s">
        <v>718</v>
      </c>
      <c r="M19" s="2" t="s">
        <v>719</v>
      </c>
      <c r="N19" s="2" t="s">
        <v>450</v>
      </c>
      <c r="O19" s="2" t="s">
        <v>448</v>
      </c>
      <c r="P19" s="2" t="s">
        <v>451</v>
      </c>
      <c r="Q19" s="2" t="s">
        <v>452</v>
      </c>
    </row>
    <row r="20" spans="1:17" x14ac:dyDescent="0.25">
      <c r="A20" t="s">
        <v>424</v>
      </c>
      <c r="B20" t="s">
        <v>324</v>
      </c>
      <c r="C20" t="s">
        <v>330</v>
      </c>
      <c r="D20" t="s">
        <v>335</v>
      </c>
      <c r="I20" s="2" t="s">
        <v>172</v>
      </c>
      <c r="J20" s="2" t="s">
        <v>720</v>
      </c>
      <c r="K20" s="2" t="s">
        <v>154</v>
      </c>
      <c r="L20" s="2" t="s">
        <v>173</v>
      </c>
      <c r="M20" s="2" t="s">
        <v>721</v>
      </c>
      <c r="N20" s="2" t="s">
        <v>453</v>
      </c>
      <c r="O20" s="2" t="s">
        <v>421</v>
      </c>
      <c r="P20" s="2" t="s">
        <v>173</v>
      </c>
      <c r="Q20" s="2" t="s">
        <v>454</v>
      </c>
    </row>
    <row r="21" spans="1:17" x14ac:dyDescent="0.25">
      <c r="I21" s="2" t="s">
        <v>174</v>
      </c>
      <c r="J21" s="2" t="s">
        <v>722</v>
      </c>
      <c r="K21" s="2" t="s">
        <v>170</v>
      </c>
      <c r="L21" s="2" t="s">
        <v>718</v>
      </c>
      <c r="M21" s="2" t="s">
        <v>723</v>
      </c>
      <c r="N21" s="2" t="s">
        <v>455</v>
      </c>
      <c r="O21" s="2" t="s">
        <v>448</v>
      </c>
      <c r="P21" s="2" t="s">
        <v>451</v>
      </c>
      <c r="Q21" s="2" t="s">
        <v>456</v>
      </c>
    </row>
    <row r="22" spans="1:17" x14ac:dyDescent="0.25">
      <c r="I22" s="2" t="s">
        <v>175</v>
      </c>
      <c r="J22" s="2" t="s">
        <v>724</v>
      </c>
      <c r="K22" s="2" t="s">
        <v>156</v>
      </c>
      <c r="L22" s="2" t="s">
        <v>706</v>
      </c>
      <c r="M22" s="2" t="s">
        <v>725</v>
      </c>
      <c r="N22" s="2" t="s">
        <v>400</v>
      </c>
      <c r="O22" s="2" t="s">
        <v>424</v>
      </c>
      <c r="P22" s="2" t="s">
        <v>441</v>
      </c>
      <c r="Q22" s="2" t="s">
        <v>401</v>
      </c>
    </row>
    <row r="23" spans="1:17" x14ac:dyDescent="0.25">
      <c r="I23" s="2" t="s">
        <v>176</v>
      </c>
      <c r="J23" s="2" t="s">
        <v>726</v>
      </c>
      <c r="K23" s="2" t="s">
        <v>156</v>
      </c>
      <c r="L23" s="2" t="s">
        <v>685</v>
      </c>
      <c r="M23" s="2" t="s">
        <v>727</v>
      </c>
      <c r="N23" s="2" t="s">
        <v>41</v>
      </c>
      <c r="O23" s="2" t="s">
        <v>424</v>
      </c>
      <c r="P23" s="2" t="s">
        <v>425</v>
      </c>
      <c r="Q23" s="2" t="s">
        <v>42</v>
      </c>
    </row>
    <row r="24" spans="1:17" x14ac:dyDescent="0.25">
      <c r="I24" s="2" t="s">
        <v>177</v>
      </c>
      <c r="J24" s="2" t="s">
        <v>728</v>
      </c>
      <c r="K24" s="2" t="s">
        <v>170</v>
      </c>
      <c r="L24" s="2" t="s">
        <v>718</v>
      </c>
      <c r="M24" s="2" t="s">
        <v>729</v>
      </c>
      <c r="N24" s="2" t="s">
        <v>406</v>
      </c>
      <c r="O24" s="2" t="s">
        <v>448</v>
      </c>
      <c r="P24" s="2" t="s">
        <v>451</v>
      </c>
      <c r="Q24" s="2" t="s">
        <v>407</v>
      </c>
    </row>
    <row r="25" spans="1:17" x14ac:dyDescent="0.25">
      <c r="I25" s="2" t="s">
        <v>178</v>
      </c>
      <c r="J25" s="2" t="s">
        <v>730</v>
      </c>
      <c r="K25" s="2" t="s">
        <v>154</v>
      </c>
      <c r="L25" s="2" t="s">
        <v>173</v>
      </c>
      <c r="M25" s="2" t="s">
        <v>731</v>
      </c>
      <c r="N25" s="2" t="s">
        <v>457</v>
      </c>
      <c r="O25" s="2" t="s">
        <v>421</v>
      </c>
      <c r="P25" s="2" t="s">
        <v>173</v>
      </c>
      <c r="Q25" s="2" t="s">
        <v>458</v>
      </c>
    </row>
    <row r="26" spans="1:17" x14ac:dyDescent="0.25">
      <c r="I26" s="2" t="s">
        <v>179</v>
      </c>
      <c r="J26" s="2" t="s">
        <v>732</v>
      </c>
      <c r="K26" s="2" t="s">
        <v>149</v>
      </c>
      <c r="L26" s="2" t="s">
        <v>673</v>
      </c>
      <c r="M26" s="2" t="s">
        <v>733</v>
      </c>
      <c r="N26" s="2" t="s">
        <v>139</v>
      </c>
      <c r="O26" s="2" t="s">
        <v>411</v>
      </c>
      <c r="P26" s="2" t="s">
        <v>412</v>
      </c>
      <c r="Q26" s="2" t="s">
        <v>140</v>
      </c>
    </row>
    <row r="27" spans="1:17" x14ac:dyDescent="0.25">
      <c r="I27" s="2" t="s">
        <v>180</v>
      </c>
      <c r="J27" s="2" t="s">
        <v>734</v>
      </c>
      <c r="K27" s="2" t="s">
        <v>158</v>
      </c>
      <c r="L27" s="2" t="s">
        <v>697</v>
      </c>
      <c r="M27" s="2" t="s">
        <v>735</v>
      </c>
      <c r="N27" s="2" t="s">
        <v>459</v>
      </c>
      <c r="O27" s="2" t="s">
        <v>427</v>
      </c>
      <c r="P27" s="2" t="s">
        <v>435</v>
      </c>
      <c r="Q27" s="2" t="s">
        <v>460</v>
      </c>
    </row>
    <row r="28" spans="1:17" x14ac:dyDescent="0.25">
      <c r="I28" s="2" t="s">
        <v>181</v>
      </c>
      <c r="J28" s="2" t="s">
        <v>736</v>
      </c>
      <c r="K28" s="2" t="s">
        <v>158</v>
      </c>
      <c r="L28" s="2" t="s">
        <v>694</v>
      </c>
      <c r="M28" s="2" t="s">
        <v>737</v>
      </c>
      <c r="N28" s="2" t="s">
        <v>461</v>
      </c>
      <c r="O28" s="2" t="s">
        <v>427</v>
      </c>
      <c r="P28" s="2" t="s">
        <v>433</v>
      </c>
      <c r="Q28" s="2" t="s">
        <v>462</v>
      </c>
    </row>
    <row r="29" spans="1:17" x14ac:dyDescent="0.25">
      <c r="I29" s="2" t="s">
        <v>182</v>
      </c>
      <c r="J29" s="2" t="s">
        <v>738</v>
      </c>
      <c r="K29" s="2" t="s">
        <v>170</v>
      </c>
      <c r="L29" s="2" t="s">
        <v>715</v>
      </c>
      <c r="M29" s="2" t="s">
        <v>739</v>
      </c>
      <c r="N29" s="2" t="s">
        <v>463</v>
      </c>
      <c r="O29" s="2" t="s">
        <v>448</v>
      </c>
      <c r="P29" s="2" t="s">
        <v>449</v>
      </c>
      <c r="Q29" s="2" t="s">
        <v>464</v>
      </c>
    </row>
    <row r="30" spans="1:17" x14ac:dyDescent="0.25">
      <c r="I30" s="2" t="s">
        <v>183</v>
      </c>
      <c r="J30" s="2" t="s">
        <v>740</v>
      </c>
      <c r="K30" s="2" t="s">
        <v>156</v>
      </c>
      <c r="L30" s="2" t="s">
        <v>741</v>
      </c>
      <c r="M30" s="2" t="s">
        <v>742</v>
      </c>
      <c r="N30" s="2" t="s">
        <v>465</v>
      </c>
      <c r="O30" s="2" t="s">
        <v>424</v>
      </c>
      <c r="P30" s="2" t="s">
        <v>466</v>
      </c>
      <c r="Q30" s="2" t="s">
        <v>467</v>
      </c>
    </row>
    <row r="31" spans="1:17" x14ac:dyDescent="0.25">
      <c r="I31" s="2" t="s">
        <v>184</v>
      </c>
      <c r="J31" s="2" t="s">
        <v>185</v>
      </c>
      <c r="K31" s="2" t="s">
        <v>151</v>
      </c>
      <c r="L31" s="2" t="s">
        <v>676</v>
      </c>
      <c r="M31" s="2" t="s">
        <v>743</v>
      </c>
      <c r="N31" s="2" t="s">
        <v>185</v>
      </c>
      <c r="O31" s="2" t="s">
        <v>414</v>
      </c>
      <c r="P31" s="2" t="s">
        <v>415</v>
      </c>
      <c r="Q31" s="2" t="s">
        <v>468</v>
      </c>
    </row>
    <row r="32" spans="1:17" x14ac:dyDescent="0.25">
      <c r="I32" s="2" t="s">
        <v>186</v>
      </c>
      <c r="J32" s="2" t="s">
        <v>744</v>
      </c>
      <c r="K32" s="2" t="s">
        <v>156</v>
      </c>
      <c r="L32" s="2" t="s">
        <v>706</v>
      </c>
      <c r="M32" s="2" t="s">
        <v>745</v>
      </c>
      <c r="N32" s="2" t="s">
        <v>469</v>
      </c>
      <c r="O32" s="2" t="s">
        <v>424</v>
      </c>
      <c r="P32" s="2" t="s">
        <v>441</v>
      </c>
      <c r="Q32" s="2" t="s">
        <v>470</v>
      </c>
    </row>
    <row r="33" spans="9:17" x14ac:dyDescent="0.25">
      <c r="I33" s="2" t="s">
        <v>187</v>
      </c>
      <c r="J33" s="2" t="s">
        <v>188</v>
      </c>
      <c r="K33" s="2" t="s">
        <v>151</v>
      </c>
      <c r="L33" s="2" t="s">
        <v>676</v>
      </c>
      <c r="M33" s="2" t="s">
        <v>746</v>
      </c>
      <c r="N33" s="2" t="s">
        <v>188</v>
      </c>
      <c r="O33" s="2" t="s">
        <v>414</v>
      </c>
      <c r="P33" s="2" t="s">
        <v>415</v>
      </c>
      <c r="Q33" s="2" t="s">
        <v>471</v>
      </c>
    </row>
    <row r="34" spans="9:17" x14ac:dyDescent="0.25">
      <c r="I34" s="2" t="s">
        <v>189</v>
      </c>
      <c r="J34" s="2" t="s">
        <v>747</v>
      </c>
      <c r="K34" s="2" t="s">
        <v>151</v>
      </c>
      <c r="L34" s="2" t="s">
        <v>701</v>
      </c>
      <c r="M34" s="2" t="s">
        <v>748</v>
      </c>
      <c r="N34" s="2" t="s">
        <v>472</v>
      </c>
      <c r="O34" s="2" t="s">
        <v>414</v>
      </c>
      <c r="P34" s="2" t="s">
        <v>439</v>
      </c>
      <c r="Q34" s="2" t="s">
        <v>473</v>
      </c>
    </row>
    <row r="35" spans="9:17" x14ac:dyDescent="0.25">
      <c r="I35" s="2" t="s">
        <v>190</v>
      </c>
      <c r="J35" s="2" t="s">
        <v>749</v>
      </c>
      <c r="K35" s="2" t="s">
        <v>158</v>
      </c>
      <c r="L35" s="2" t="s">
        <v>694</v>
      </c>
      <c r="M35" s="2" t="s">
        <v>750</v>
      </c>
      <c r="N35" s="2" t="s">
        <v>474</v>
      </c>
      <c r="O35" s="2" t="s">
        <v>427</v>
      </c>
      <c r="P35" s="2" t="s">
        <v>433</v>
      </c>
      <c r="Q35" s="2" t="s">
        <v>475</v>
      </c>
    </row>
    <row r="36" spans="9:17" x14ac:dyDescent="0.25">
      <c r="I36" s="2" t="s">
        <v>191</v>
      </c>
      <c r="J36" s="2" t="s">
        <v>751</v>
      </c>
      <c r="K36" s="2" t="s">
        <v>158</v>
      </c>
      <c r="L36" s="2" t="s">
        <v>694</v>
      </c>
      <c r="M36" s="2" t="s">
        <v>752</v>
      </c>
      <c r="N36" s="2" t="s">
        <v>476</v>
      </c>
      <c r="O36" s="2" t="s">
        <v>427</v>
      </c>
      <c r="P36" s="2" t="s">
        <v>433</v>
      </c>
      <c r="Q36" s="2" t="s">
        <v>477</v>
      </c>
    </row>
    <row r="37" spans="9:17" x14ac:dyDescent="0.25">
      <c r="I37" s="2" t="s">
        <v>192</v>
      </c>
      <c r="J37" s="2" t="s">
        <v>753</v>
      </c>
      <c r="K37" s="2" t="s">
        <v>158</v>
      </c>
      <c r="L37" s="2" t="s">
        <v>754</v>
      </c>
      <c r="M37" s="2" t="s">
        <v>755</v>
      </c>
      <c r="N37" s="2" t="s">
        <v>478</v>
      </c>
      <c r="O37" s="2" t="s">
        <v>427</v>
      </c>
      <c r="P37" s="2" t="s">
        <v>479</v>
      </c>
      <c r="Q37" s="2" t="s">
        <v>480</v>
      </c>
    </row>
    <row r="38" spans="9:17" x14ac:dyDescent="0.25">
      <c r="I38" s="2" t="s">
        <v>193</v>
      </c>
      <c r="J38" s="2" t="s">
        <v>756</v>
      </c>
      <c r="K38" s="2" t="s">
        <v>151</v>
      </c>
      <c r="L38" s="2" t="s">
        <v>676</v>
      </c>
      <c r="M38" s="2" t="s">
        <v>757</v>
      </c>
      <c r="N38" s="2" t="s">
        <v>481</v>
      </c>
      <c r="O38" s="2" t="s">
        <v>414</v>
      </c>
      <c r="P38" s="2" t="s">
        <v>415</v>
      </c>
      <c r="Q38" s="2" t="s">
        <v>482</v>
      </c>
    </row>
    <row r="39" spans="9:17" x14ac:dyDescent="0.25">
      <c r="I39" s="2" t="s">
        <v>194</v>
      </c>
      <c r="J39" s="2" t="s">
        <v>758</v>
      </c>
      <c r="K39" s="2" t="s">
        <v>154</v>
      </c>
      <c r="L39" s="2" t="s">
        <v>682</v>
      </c>
      <c r="M39" s="2" t="s">
        <v>759</v>
      </c>
      <c r="N39" s="2" t="s">
        <v>483</v>
      </c>
      <c r="O39" s="2" t="s">
        <v>421</v>
      </c>
      <c r="P39" s="2" t="s">
        <v>422</v>
      </c>
      <c r="Q39" s="2" t="s">
        <v>484</v>
      </c>
    </row>
    <row r="40" spans="9:17" x14ac:dyDescent="0.25">
      <c r="I40" s="2" t="s">
        <v>195</v>
      </c>
      <c r="J40" s="2" t="s">
        <v>760</v>
      </c>
      <c r="K40" s="2" t="s">
        <v>196</v>
      </c>
      <c r="L40" s="2" t="s">
        <v>761</v>
      </c>
      <c r="M40" s="2" t="s">
        <v>762</v>
      </c>
      <c r="N40" s="2" t="s">
        <v>485</v>
      </c>
      <c r="O40" s="2" t="s">
        <v>486</v>
      </c>
      <c r="P40" s="2" t="s">
        <v>487</v>
      </c>
      <c r="Q40" s="2" t="s">
        <v>488</v>
      </c>
    </row>
    <row r="41" spans="9:17" x14ac:dyDescent="0.25">
      <c r="I41" s="2" t="s">
        <v>197</v>
      </c>
      <c r="J41" s="2" t="s">
        <v>763</v>
      </c>
      <c r="K41" s="2" t="s">
        <v>149</v>
      </c>
      <c r="L41" s="2" t="s">
        <v>712</v>
      </c>
      <c r="M41" s="2" t="s">
        <v>764</v>
      </c>
      <c r="N41" s="2" t="s">
        <v>7</v>
      </c>
      <c r="O41" s="2" t="s">
        <v>411</v>
      </c>
      <c r="P41" s="2" t="s">
        <v>446</v>
      </c>
      <c r="Q41" s="2" t="s">
        <v>8</v>
      </c>
    </row>
    <row r="42" spans="9:17" x14ac:dyDescent="0.25">
      <c r="I42" s="2" t="s">
        <v>198</v>
      </c>
      <c r="J42" s="2" t="s">
        <v>765</v>
      </c>
      <c r="K42" s="2" t="s">
        <v>149</v>
      </c>
      <c r="L42" s="2" t="s">
        <v>712</v>
      </c>
      <c r="M42" s="2" t="s">
        <v>766</v>
      </c>
      <c r="N42" s="2" t="s">
        <v>81</v>
      </c>
      <c r="O42" s="2" t="s">
        <v>411</v>
      </c>
      <c r="P42" s="2" t="s">
        <v>446</v>
      </c>
      <c r="Q42" s="2" t="s">
        <v>82</v>
      </c>
    </row>
    <row r="43" spans="9:17" x14ac:dyDescent="0.25">
      <c r="I43" s="2" t="s">
        <v>199</v>
      </c>
      <c r="J43" s="2" t="s">
        <v>767</v>
      </c>
      <c r="K43" s="2" t="s">
        <v>149</v>
      </c>
      <c r="L43" s="2" t="s">
        <v>712</v>
      </c>
      <c r="M43" s="2" t="s">
        <v>768</v>
      </c>
      <c r="N43" s="2" t="s">
        <v>47</v>
      </c>
      <c r="O43" s="2" t="s">
        <v>411</v>
      </c>
      <c r="P43" s="2" t="s">
        <v>446</v>
      </c>
      <c r="Q43" s="2" t="s">
        <v>48</v>
      </c>
    </row>
    <row r="44" spans="9:17" x14ac:dyDescent="0.25">
      <c r="I44" s="2" t="s">
        <v>200</v>
      </c>
      <c r="J44" s="2" t="s">
        <v>769</v>
      </c>
      <c r="K44" s="2" t="s">
        <v>158</v>
      </c>
      <c r="L44" s="2" t="s">
        <v>688</v>
      </c>
      <c r="M44" s="2" t="s">
        <v>770</v>
      </c>
      <c r="N44" s="2" t="s">
        <v>489</v>
      </c>
      <c r="O44" s="2" t="s">
        <v>427</v>
      </c>
      <c r="P44" s="2" t="s">
        <v>428</v>
      </c>
      <c r="Q44" s="2" t="s">
        <v>490</v>
      </c>
    </row>
    <row r="45" spans="9:17" x14ac:dyDescent="0.25">
      <c r="I45" s="2" t="s">
        <v>201</v>
      </c>
      <c r="J45" s="2" t="s">
        <v>771</v>
      </c>
      <c r="K45" s="2" t="s">
        <v>149</v>
      </c>
      <c r="L45" s="2" t="s">
        <v>712</v>
      </c>
      <c r="M45" s="2" t="s">
        <v>772</v>
      </c>
      <c r="N45" s="2" t="s">
        <v>491</v>
      </c>
      <c r="O45" s="2" t="s">
        <v>411</v>
      </c>
      <c r="P45" s="2" t="s">
        <v>446</v>
      </c>
      <c r="Q45" s="2" t="s">
        <v>492</v>
      </c>
    </row>
    <row r="46" spans="9:17" x14ac:dyDescent="0.25">
      <c r="I46" s="2" t="s">
        <v>202</v>
      </c>
      <c r="J46" s="2" t="s">
        <v>773</v>
      </c>
      <c r="K46" s="2" t="s">
        <v>158</v>
      </c>
      <c r="L46" s="2" t="s">
        <v>697</v>
      </c>
      <c r="M46" s="2" t="s">
        <v>774</v>
      </c>
      <c r="N46" s="2" t="s">
        <v>493</v>
      </c>
      <c r="O46" s="2" t="s">
        <v>427</v>
      </c>
      <c r="P46" s="2" t="s">
        <v>435</v>
      </c>
      <c r="Q46" s="2" t="s">
        <v>494</v>
      </c>
    </row>
    <row r="47" spans="9:17" x14ac:dyDescent="0.25">
      <c r="I47" s="2" t="s">
        <v>203</v>
      </c>
      <c r="J47" s="2" t="s">
        <v>775</v>
      </c>
      <c r="K47" s="2" t="s">
        <v>151</v>
      </c>
      <c r="L47" s="2" t="s">
        <v>676</v>
      </c>
      <c r="M47" s="2" t="s">
        <v>776</v>
      </c>
      <c r="N47" s="2" t="s">
        <v>495</v>
      </c>
      <c r="O47" s="2" t="s">
        <v>414</v>
      </c>
      <c r="P47" s="2" t="s">
        <v>415</v>
      </c>
      <c r="Q47" s="2" t="s">
        <v>496</v>
      </c>
    </row>
    <row r="48" spans="9:17" x14ac:dyDescent="0.25">
      <c r="I48" s="2" t="s">
        <v>204</v>
      </c>
      <c r="J48" s="2" t="s">
        <v>777</v>
      </c>
      <c r="K48" s="2" t="s">
        <v>170</v>
      </c>
      <c r="L48" s="2" t="s">
        <v>778</v>
      </c>
      <c r="M48" s="2" t="s">
        <v>779</v>
      </c>
      <c r="N48" s="2" t="s">
        <v>120</v>
      </c>
      <c r="O48" s="2" t="s">
        <v>448</v>
      </c>
      <c r="P48" s="2" t="s">
        <v>497</v>
      </c>
      <c r="Q48" s="2" t="s">
        <v>121</v>
      </c>
    </row>
    <row r="49" spans="9:17" x14ac:dyDescent="0.25">
      <c r="I49" s="2" t="s">
        <v>205</v>
      </c>
      <c r="J49" s="2" t="s">
        <v>780</v>
      </c>
      <c r="K49" s="2" t="s">
        <v>156</v>
      </c>
      <c r="L49" s="2" t="s">
        <v>706</v>
      </c>
      <c r="M49" s="2" t="s">
        <v>781</v>
      </c>
      <c r="N49" s="2" t="s">
        <v>498</v>
      </c>
      <c r="O49" s="2" t="s">
        <v>424</v>
      </c>
      <c r="P49" s="2" t="s">
        <v>441</v>
      </c>
      <c r="Q49" s="2" t="s">
        <v>499</v>
      </c>
    </row>
    <row r="50" spans="9:17" x14ac:dyDescent="0.25">
      <c r="I50" s="2" t="s">
        <v>206</v>
      </c>
      <c r="J50" s="2" t="s">
        <v>782</v>
      </c>
      <c r="K50" s="2" t="s">
        <v>149</v>
      </c>
      <c r="L50" s="2" t="s">
        <v>712</v>
      </c>
      <c r="M50" s="2" t="s">
        <v>783</v>
      </c>
      <c r="N50" s="2" t="s">
        <v>500</v>
      </c>
      <c r="O50" s="2" t="s">
        <v>411</v>
      </c>
      <c r="P50" s="2" t="s">
        <v>446</v>
      </c>
      <c r="Q50" s="2" t="s">
        <v>501</v>
      </c>
    </row>
    <row r="51" spans="9:17" x14ac:dyDescent="0.25">
      <c r="I51" s="2" t="s">
        <v>207</v>
      </c>
      <c r="J51" s="2" t="s">
        <v>784</v>
      </c>
      <c r="K51" s="2" t="s">
        <v>158</v>
      </c>
      <c r="L51" s="2" t="s">
        <v>697</v>
      </c>
      <c r="M51" s="2" t="s">
        <v>785</v>
      </c>
      <c r="N51" s="2" t="s">
        <v>10</v>
      </c>
      <c r="O51" s="2" t="s">
        <v>427</v>
      </c>
      <c r="P51" s="2" t="s">
        <v>435</v>
      </c>
      <c r="Q51" s="2" t="s">
        <v>11</v>
      </c>
    </row>
    <row r="52" spans="9:17" x14ac:dyDescent="0.25">
      <c r="I52" s="2" t="s">
        <v>208</v>
      </c>
      <c r="J52" s="2" t="s">
        <v>786</v>
      </c>
      <c r="K52" s="2" t="s">
        <v>149</v>
      </c>
      <c r="L52" s="2" t="s">
        <v>679</v>
      </c>
      <c r="M52" s="2" t="s">
        <v>787</v>
      </c>
      <c r="N52" s="2" t="s">
        <v>502</v>
      </c>
      <c r="O52" s="2" t="s">
        <v>411</v>
      </c>
      <c r="P52" s="2" t="s">
        <v>418</v>
      </c>
      <c r="Q52" s="2" t="s">
        <v>503</v>
      </c>
    </row>
    <row r="53" spans="9:17" x14ac:dyDescent="0.25">
      <c r="I53" s="2" t="s">
        <v>209</v>
      </c>
      <c r="J53" s="2" t="s">
        <v>788</v>
      </c>
      <c r="K53" s="2" t="s">
        <v>158</v>
      </c>
      <c r="L53" s="2" t="s">
        <v>754</v>
      </c>
      <c r="M53" s="2" t="s">
        <v>789</v>
      </c>
      <c r="N53" s="2" t="s">
        <v>504</v>
      </c>
      <c r="O53" s="2" t="s">
        <v>427</v>
      </c>
      <c r="P53" s="2" t="s">
        <v>479</v>
      </c>
      <c r="Q53" s="2" t="s">
        <v>505</v>
      </c>
    </row>
    <row r="54" spans="9:17" x14ac:dyDescent="0.25">
      <c r="I54" s="2" t="s">
        <v>210</v>
      </c>
      <c r="J54" s="2" t="s">
        <v>790</v>
      </c>
      <c r="K54" s="2" t="s">
        <v>151</v>
      </c>
      <c r="L54" s="2" t="s">
        <v>676</v>
      </c>
      <c r="M54" s="2" t="s">
        <v>791</v>
      </c>
      <c r="N54" s="2" t="s">
        <v>506</v>
      </c>
      <c r="O54" s="2" t="s">
        <v>414</v>
      </c>
      <c r="P54" s="2" t="s">
        <v>415</v>
      </c>
      <c r="Q54" s="2" t="s">
        <v>507</v>
      </c>
    </row>
    <row r="55" spans="9:17" x14ac:dyDescent="0.25">
      <c r="I55" s="2" t="s">
        <v>211</v>
      </c>
      <c r="J55" s="2" t="s">
        <v>792</v>
      </c>
      <c r="K55" s="2" t="s">
        <v>154</v>
      </c>
      <c r="L55" s="2" t="s">
        <v>173</v>
      </c>
      <c r="M55" s="2" t="s">
        <v>793</v>
      </c>
      <c r="N55" s="2" t="s">
        <v>508</v>
      </c>
      <c r="O55" s="2" t="s">
        <v>421</v>
      </c>
      <c r="P55" s="2" t="s">
        <v>173</v>
      </c>
      <c r="Q55" s="2" t="s">
        <v>509</v>
      </c>
    </row>
    <row r="56" spans="9:17" x14ac:dyDescent="0.25">
      <c r="I56" s="2" t="s">
        <v>212</v>
      </c>
      <c r="J56" s="2" t="s">
        <v>794</v>
      </c>
      <c r="K56" s="2" t="s">
        <v>149</v>
      </c>
      <c r="L56" s="2" t="s">
        <v>679</v>
      </c>
      <c r="M56" s="2" t="s">
        <v>795</v>
      </c>
      <c r="N56" s="2" t="s">
        <v>510</v>
      </c>
      <c r="O56" s="2" t="s">
        <v>411</v>
      </c>
      <c r="P56" s="2" t="s">
        <v>418</v>
      </c>
      <c r="Q56" s="2" t="s">
        <v>511</v>
      </c>
    </row>
    <row r="57" spans="9:17" x14ac:dyDescent="0.25">
      <c r="I57" s="2" t="s">
        <v>213</v>
      </c>
      <c r="J57" s="2" t="s">
        <v>796</v>
      </c>
      <c r="K57" s="2" t="s">
        <v>149</v>
      </c>
      <c r="L57" s="2" t="s">
        <v>712</v>
      </c>
      <c r="M57" s="2" t="s">
        <v>797</v>
      </c>
      <c r="N57" s="2" t="s">
        <v>83</v>
      </c>
      <c r="O57" s="2" t="s">
        <v>411</v>
      </c>
      <c r="P57" s="2" t="s">
        <v>446</v>
      </c>
      <c r="Q57" s="2" t="s">
        <v>84</v>
      </c>
    </row>
    <row r="58" spans="9:17" x14ac:dyDescent="0.25">
      <c r="I58" s="2" t="s">
        <v>214</v>
      </c>
      <c r="J58" s="2" t="s">
        <v>798</v>
      </c>
      <c r="K58" s="2" t="s">
        <v>196</v>
      </c>
      <c r="L58" s="2" t="s">
        <v>799</v>
      </c>
      <c r="M58" s="2" t="s">
        <v>800</v>
      </c>
      <c r="N58" s="2" t="s">
        <v>512</v>
      </c>
      <c r="O58" s="2" t="s">
        <v>486</v>
      </c>
      <c r="P58" s="2" t="s">
        <v>513</v>
      </c>
      <c r="Q58" s="2" t="s">
        <v>514</v>
      </c>
    </row>
    <row r="59" spans="9:17" x14ac:dyDescent="0.25">
      <c r="I59" s="2" t="s">
        <v>215</v>
      </c>
      <c r="J59" s="2" t="s">
        <v>801</v>
      </c>
      <c r="K59" s="2" t="s">
        <v>156</v>
      </c>
      <c r="L59" s="2" t="s">
        <v>691</v>
      </c>
      <c r="M59" s="2" t="s">
        <v>802</v>
      </c>
      <c r="N59" s="2" t="s">
        <v>515</v>
      </c>
      <c r="O59" s="2" t="s">
        <v>424</v>
      </c>
      <c r="P59" s="2" t="s">
        <v>431</v>
      </c>
      <c r="Q59" s="2" t="s">
        <v>516</v>
      </c>
    </row>
    <row r="60" spans="9:17" x14ac:dyDescent="0.25">
      <c r="I60" s="2" t="s">
        <v>216</v>
      </c>
      <c r="J60" s="2" t="s">
        <v>803</v>
      </c>
      <c r="K60" s="2" t="s">
        <v>196</v>
      </c>
      <c r="L60" s="2" t="s">
        <v>761</v>
      </c>
      <c r="M60" s="2" t="s">
        <v>804</v>
      </c>
      <c r="N60" s="2" t="s">
        <v>517</v>
      </c>
      <c r="O60" s="2" t="s">
        <v>486</v>
      </c>
      <c r="P60" s="2" t="s">
        <v>487</v>
      </c>
      <c r="Q60" s="2" t="s">
        <v>518</v>
      </c>
    </row>
    <row r="61" spans="9:17" x14ac:dyDescent="0.25">
      <c r="I61" s="2" t="s">
        <v>217</v>
      </c>
      <c r="J61" s="2" t="s">
        <v>805</v>
      </c>
      <c r="K61" s="2" t="s">
        <v>196</v>
      </c>
      <c r="L61" s="2" t="s">
        <v>761</v>
      </c>
      <c r="M61" s="2" t="s">
        <v>806</v>
      </c>
      <c r="N61" s="2" t="s">
        <v>519</v>
      </c>
      <c r="O61" s="2" t="s">
        <v>486</v>
      </c>
      <c r="P61" s="2" t="s">
        <v>487</v>
      </c>
      <c r="Q61" s="2" t="s">
        <v>520</v>
      </c>
    </row>
    <row r="62" spans="9:17" x14ac:dyDescent="0.25">
      <c r="I62" s="2" t="s">
        <v>218</v>
      </c>
      <c r="J62" s="2" t="s">
        <v>807</v>
      </c>
      <c r="K62" s="2" t="s">
        <v>170</v>
      </c>
      <c r="L62" s="2" t="s">
        <v>718</v>
      </c>
      <c r="M62" s="2" t="s">
        <v>808</v>
      </c>
      <c r="N62" s="2" t="s">
        <v>521</v>
      </c>
      <c r="O62" s="2" t="s">
        <v>448</v>
      </c>
      <c r="P62" s="2" t="s">
        <v>451</v>
      </c>
      <c r="Q62" s="2" t="s">
        <v>522</v>
      </c>
    </row>
    <row r="63" spans="9:17" x14ac:dyDescent="0.25">
      <c r="I63" s="2" t="s">
        <v>219</v>
      </c>
      <c r="J63" s="2" t="s">
        <v>809</v>
      </c>
      <c r="K63" s="2" t="s">
        <v>156</v>
      </c>
      <c r="L63" s="2" t="s">
        <v>706</v>
      </c>
      <c r="M63" s="2" t="s">
        <v>810</v>
      </c>
      <c r="N63" s="2" t="s">
        <v>523</v>
      </c>
      <c r="O63" s="2" t="s">
        <v>424</v>
      </c>
      <c r="P63" s="2" t="s">
        <v>441</v>
      </c>
      <c r="Q63" s="2" t="s">
        <v>524</v>
      </c>
    </row>
    <row r="64" spans="9:17" x14ac:dyDescent="0.25">
      <c r="I64" s="2" t="s">
        <v>220</v>
      </c>
      <c r="J64" s="2" t="s">
        <v>811</v>
      </c>
      <c r="K64" s="2" t="s">
        <v>156</v>
      </c>
      <c r="L64" s="2" t="s">
        <v>706</v>
      </c>
      <c r="M64" s="2" t="s">
        <v>812</v>
      </c>
      <c r="N64" s="2" t="s">
        <v>525</v>
      </c>
      <c r="O64" s="2" t="s">
        <v>424</v>
      </c>
      <c r="P64" s="2" t="s">
        <v>441</v>
      </c>
      <c r="Q64" s="2" t="s">
        <v>526</v>
      </c>
    </row>
    <row r="65" spans="9:17" x14ac:dyDescent="0.25">
      <c r="I65" s="2" t="s">
        <v>221</v>
      </c>
      <c r="J65" s="2" t="s">
        <v>813</v>
      </c>
      <c r="K65" s="2" t="s">
        <v>156</v>
      </c>
      <c r="L65" s="2" t="s">
        <v>685</v>
      </c>
      <c r="M65" s="2" t="s">
        <v>814</v>
      </c>
      <c r="N65" s="2" t="s">
        <v>527</v>
      </c>
      <c r="O65" s="2" t="s">
        <v>424</v>
      </c>
      <c r="P65" s="2" t="s">
        <v>425</v>
      </c>
      <c r="Q65" s="2" t="s">
        <v>528</v>
      </c>
    </row>
    <row r="66" spans="9:17" x14ac:dyDescent="0.25">
      <c r="I66" s="2" t="s">
        <v>222</v>
      </c>
      <c r="J66" s="2" t="s">
        <v>815</v>
      </c>
      <c r="K66" s="2" t="s">
        <v>149</v>
      </c>
      <c r="L66" s="2" t="s">
        <v>816</v>
      </c>
      <c r="M66" s="2" t="s">
        <v>817</v>
      </c>
      <c r="N66" s="2" t="s">
        <v>142</v>
      </c>
      <c r="O66" s="2" t="s">
        <v>411</v>
      </c>
      <c r="P66" s="2" t="s">
        <v>529</v>
      </c>
      <c r="Q66" s="2" t="s">
        <v>143</v>
      </c>
    </row>
    <row r="67" spans="9:17" x14ac:dyDescent="0.25">
      <c r="I67" s="2" t="s">
        <v>223</v>
      </c>
      <c r="J67" s="2" t="s">
        <v>818</v>
      </c>
      <c r="K67" s="2" t="s">
        <v>149</v>
      </c>
      <c r="L67" s="2" t="s">
        <v>673</v>
      </c>
      <c r="M67" s="2" t="s">
        <v>819</v>
      </c>
      <c r="N67" s="2" t="s">
        <v>114</v>
      </c>
      <c r="O67" s="2" t="s">
        <v>411</v>
      </c>
      <c r="P67" s="2" t="s">
        <v>412</v>
      </c>
      <c r="Q67" s="2" t="s">
        <v>115</v>
      </c>
    </row>
    <row r="68" spans="9:17" x14ac:dyDescent="0.25">
      <c r="I68" s="2" t="s">
        <v>224</v>
      </c>
      <c r="J68" s="2" t="s">
        <v>820</v>
      </c>
      <c r="K68" s="2" t="s">
        <v>149</v>
      </c>
      <c r="L68" s="2" t="s">
        <v>821</v>
      </c>
      <c r="M68" s="2" t="s">
        <v>822</v>
      </c>
      <c r="N68" s="2" t="s">
        <v>530</v>
      </c>
      <c r="O68" s="2" t="s">
        <v>411</v>
      </c>
      <c r="P68" s="2" t="s">
        <v>531</v>
      </c>
      <c r="Q68" s="2" t="s">
        <v>532</v>
      </c>
    </row>
    <row r="69" spans="9:17" x14ac:dyDescent="0.25">
      <c r="I69" s="2" t="s">
        <v>225</v>
      </c>
      <c r="J69" s="2" t="s">
        <v>823</v>
      </c>
      <c r="K69" s="2" t="s">
        <v>158</v>
      </c>
      <c r="L69" s="2" t="s">
        <v>697</v>
      </c>
      <c r="M69" s="2" t="s">
        <v>824</v>
      </c>
      <c r="N69" s="2" t="s">
        <v>398</v>
      </c>
      <c r="O69" s="2" t="s">
        <v>427</v>
      </c>
      <c r="P69" s="2" t="s">
        <v>435</v>
      </c>
      <c r="Q69" s="2" t="s">
        <v>399</v>
      </c>
    </row>
    <row r="70" spans="9:17" x14ac:dyDescent="0.25">
      <c r="I70" s="2" t="s">
        <v>226</v>
      </c>
      <c r="J70" s="2" t="s">
        <v>825</v>
      </c>
      <c r="K70" s="2" t="s">
        <v>149</v>
      </c>
      <c r="L70" s="2" t="s">
        <v>679</v>
      </c>
      <c r="M70" s="2" t="s">
        <v>826</v>
      </c>
      <c r="N70" s="2" t="s">
        <v>533</v>
      </c>
      <c r="O70" s="2" t="s">
        <v>411</v>
      </c>
      <c r="P70" s="2" t="s">
        <v>418</v>
      </c>
      <c r="Q70" s="2" t="s">
        <v>534</v>
      </c>
    </row>
    <row r="71" spans="9:17" x14ac:dyDescent="0.25">
      <c r="I71" s="2" t="s">
        <v>227</v>
      </c>
      <c r="J71" s="2" t="s">
        <v>827</v>
      </c>
      <c r="K71" s="2" t="s">
        <v>158</v>
      </c>
      <c r="L71" s="2" t="s">
        <v>754</v>
      </c>
      <c r="M71" s="2" t="s">
        <v>828</v>
      </c>
      <c r="N71" s="2" t="s">
        <v>133</v>
      </c>
      <c r="O71" s="2" t="s">
        <v>427</v>
      </c>
      <c r="P71" s="2" t="s">
        <v>479</v>
      </c>
      <c r="Q71" s="2" t="s">
        <v>136</v>
      </c>
    </row>
    <row r="72" spans="9:17" x14ac:dyDescent="0.25">
      <c r="I72" s="2" t="s">
        <v>228</v>
      </c>
      <c r="J72" s="2" t="s">
        <v>829</v>
      </c>
      <c r="K72" s="2" t="s">
        <v>149</v>
      </c>
      <c r="L72" s="2" t="s">
        <v>816</v>
      </c>
      <c r="M72" s="2" t="s">
        <v>830</v>
      </c>
      <c r="N72" s="2" t="s">
        <v>535</v>
      </c>
      <c r="O72" s="2" t="s">
        <v>411</v>
      </c>
      <c r="P72" s="2" t="s">
        <v>529</v>
      </c>
      <c r="Q72" s="2" t="s">
        <v>536</v>
      </c>
    </row>
    <row r="73" spans="9:17" x14ac:dyDescent="0.25">
      <c r="I73" s="2" t="s">
        <v>229</v>
      </c>
      <c r="J73" s="2" t="s">
        <v>831</v>
      </c>
      <c r="K73" s="2" t="s">
        <v>149</v>
      </c>
      <c r="L73" s="2" t="s">
        <v>679</v>
      </c>
      <c r="M73" s="2" t="s">
        <v>832</v>
      </c>
      <c r="N73" s="2" t="s">
        <v>90</v>
      </c>
      <c r="O73" s="2" t="s">
        <v>411</v>
      </c>
      <c r="P73" s="2" t="s">
        <v>418</v>
      </c>
      <c r="Q73" s="2" t="s">
        <v>91</v>
      </c>
    </row>
    <row r="74" spans="9:17" x14ac:dyDescent="0.25">
      <c r="I74" s="2" t="s">
        <v>230</v>
      </c>
      <c r="J74" s="2" t="s">
        <v>833</v>
      </c>
      <c r="K74" s="2" t="s">
        <v>151</v>
      </c>
      <c r="L74" s="2" t="s">
        <v>676</v>
      </c>
      <c r="M74" s="2" t="s">
        <v>834</v>
      </c>
      <c r="N74" s="2" t="s">
        <v>537</v>
      </c>
      <c r="O74" s="2" t="s">
        <v>414</v>
      </c>
      <c r="P74" s="2" t="s">
        <v>415</v>
      </c>
      <c r="Q74" s="2" t="s">
        <v>538</v>
      </c>
    </row>
    <row r="75" spans="9:17" x14ac:dyDescent="0.25">
      <c r="I75" s="2" t="s">
        <v>231</v>
      </c>
      <c r="J75" s="2" t="s">
        <v>835</v>
      </c>
      <c r="K75" s="2" t="s">
        <v>156</v>
      </c>
      <c r="L75" s="2" t="s">
        <v>836</v>
      </c>
      <c r="M75" s="2" t="s">
        <v>837</v>
      </c>
      <c r="N75" s="2" t="s">
        <v>16</v>
      </c>
      <c r="O75" s="2" t="s">
        <v>424</v>
      </c>
      <c r="P75" s="2" t="s">
        <v>539</v>
      </c>
      <c r="Q75" s="2" t="s">
        <v>17</v>
      </c>
    </row>
    <row r="76" spans="9:17" x14ac:dyDescent="0.25">
      <c r="I76" s="2" t="s">
        <v>232</v>
      </c>
      <c r="J76" s="2" t="s">
        <v>838</v>
      </c>
      <c r="K76" s="2" t="s">
        <v>149</v>
      </c>
      <c r="L76" s="2" t="s">
        <v>816</v>
      </c>
      <c r="M76" s="2" t="s">
        <v>839</v>
      </c>
      <c r="N76" s="2" t="s">
        <v>540</v>
      </c>
      <c r="O76" s="2" t="s">
        <v>411</v>
      </c>
      <c r="P76" s="2" t="s">
        <v>529</v>
      </c>
      <c r="Q76" s="2" t="s">
        <v>541</v>
      </c>
    </row>
    <row r="77" spans="9:17" x14ac:dyDescent="0.25">
      <c r="I77" s="2" t="s">
        <v>233</v>
      </c>
      <c r="J77" s="2" t="s">
        <v>234</v>
      </c>
      <c r="K77" s="2" t="s">
        <v>151</v>
      </c>
      <c r="L77" s="2" t="s">
        <v>701</v>
      </c>
      <c r="M77" s="2" t="s">
        <v>840</v>
      </c>
      <c r="N77" s="2" t="s">
        <v>234</v>
      </c>
      <c r="O77" s="2" t="s">
        <v>414</v>
      </c>
      <c r="P77" s="2" t="s">
        <v>439</v>
      </c>
      <c r="Q77" s="2" t="s">
        <v>542</v>
      </c>
    </row>
    <row r="78" spans="9:17" x14ac:dyDescent="0.25">
      <c r="I78" s="2" t="s">
        <v>235</v>
      </c>
      <c r="J78" s="2" t="s">
        <v>841</v>
      </c>
      <c r="K78" s="2" t="s">
        <v>156</v>
      </c>
      <c r="L78" s="2" t="s">
        <v>691</v>
      </c>
      <c r="M78" s="2" t="s">
        <v>842</v>
      </c>
      <c r="N78" s="2" t="s">
        <v>543</v>
      </c>
      <c r="O78" s="2" t="s">
        <v>424</v>
      </c>
      <c r="P78" s="2" t="s">
        <v>431</v>
      </c>
      <c r="Q78" s="2" t="s">
        <v>544</v>
      </c>
    </row>
    <row r="79" spans="9:17" x14ac:dyDescent="0.25">
      <c r="I79" s="2" t="s">
        <v>236</v>
      </c>
      <c r="J79" s="2" t="s">
        <v>843</v>
      </c>
      <c r="K79" s="2" t="s">
        <v>156</v>
      </c>
      <c r="L79" s="2" t="s">
        <v>706</v>
      </c>
      <c r="M79" s="2" t="s">
        <v>844</v>
      </c>
      <c r="N79" s="2" t="s">
        <v>545</v>
      </c>
      <c r="O79" s="2" t="s">
        <v>424</v>
      </c>
      <c r="P79" s="2" t="s">
        <v>441</v>
      </c>
      <c r="Q79" s="2" t="s">
        <v>546</v>
      </c>
    </row>
    <row r="80" spans="9:17" x14ac:dyDescent="0.25">
      <c r="I80" s="2" t="s">
        <v>237</v>
      </c>
      <c r="J80" s="2" t="s">
        <v>845</v>
      </c>
      <c r="K80" s="2" t="s">
        <v>156</v>
      </c>
      <c r="L80" s="2" t="s">
        <v>691</v>
      </c>
      <c r="M80" s="2" t="s">
        <v>846</v>
      </c>
      <c r="N80" s="2" t="s">
        <v>547</v>
      </c>
      <c r="O80" s="2" t="s">
        <v>424</v>
      </c>
      <c r="P80" s="2" t="s">
        <v>431</v>
      </c>
      <c r="Q80" s="2" t="s">
        <v>548</v>
      </c>
    </row>
    <row r="81" spans="9:17" x14ac:dyDescent="0.25">
      <c r="I81" s="2" t="s">
        <v>238</v>
      </c>
      <c r="J81" s="2" t="s">
        <v>847</v>
      </c>
      <c r="K81" s="2" t="s">
        <v>156</v>
      </c>
      <c r="L81" s="2" t="s">
        <v>691</v>
      </c>
      <c r="M81" s="2" t="s">
        <v>848</v>
      </c>
      <c r="N81" s="2" t="s">
        <v>549</v>
      </c>
      <c r="O81" s="2" t="s">
        <v>424</v>
      </c>
      <c r="P81" s="2" t="s">
        <v>431</v>
      </c>
      <c r="Q81" s="2" t="s">
        <v>550</v>
      </c>
    </row>
    <row r="82" spans="9:17" x14ac:dyDescent="0.25">
      <c r="I82" s="2" t="s">
        <v>239</v>
      </c>
      <c r="J82" s="2" t="s">
        <v>849</v>
      </c>
      <c r="K82" s="2" t="s">
        <v>154</v>
      </c>
      <c r="L82" s="2" t="s">
        <v>682</v>
      </c>
      <c r="M82" s="2" t="s">
        <v>850</v>
      </c>
      <c r="N82" s="2" t="s">
        <v>551</v>
      </c>
      <c r="O82" s="2" t="s">
        <v>421</v>
      </c>
      <c r="P82" s="2" t="s">
        <v>422</v>
      </c>
      <c r="Q82" s="2" t="s">
        <v>552</v>
      </c>
    </row>
    <row r="83" spans="9:17" x14ac:dyDescent="0.25">
      <c r="I83" s="2" t="s">
        <v>240</v>
      </c>
      <c r="J83" s="2" t="s">
        <v>851</v>
      </c>
      <c r="K83" s="2" t="s">
        <v>158</v>
      </c>
      <c r="L83" s="2" t="s">
        <v>697</v>
      </c>
      <c r="M83" s="2" t="s">
        <v>852</v>
      </c>
      <c r="N83" s="2" t="s">
        <v>553</v>
      </c>
      <c r="O83" s="2" t="s">
        <v>427</v>
      </c>
      <c r="P83" s="2" t="s">
        <v>435</v>
      </c>
      <c r="Q83" s="2" t="s">
        <v>134</v>
      </c>
    </row>
    <row r="84" spans="9:17" x14ac:dyDescent="0.25">
      <c r="I84" s="2" t="s">
        <v>241</v>
      </c>
      <c r="J84" s="2" t="s">
        <v>853</v>
      </c>
      <c r="K84" s="2" t="s">
        <v>158</v>
      </c>
      <c r="L84" s="2" t="s">
        <v>697</v>
      </c>
      <c r="M84" s="2" t="s">
        <v>854</v>
      </c>
      <c r="N84" s="2" t="s">
        <v>125</v>
      </c>
      <c r="O84" s="2" t="s">
        <v>427</v>
      </c>
      <c r="P84" s="2" t="s">
        <v>435</v>
      </c>
      <c r="Q84" s="2" t="s">
        <v>126</v>
      </c>
    </row>
    <row r="85" spans="9:17" x14ac:dyDescent="0.25">
      <c r="I85" s="2" t="s">
        <v>242</v>
      </c>
      <c r="J85" s="2" t="s">
        <v>855</v>
      </c>
      <c r="K85" s="2" t="s">
        <v>156</v>
      </c>
      <c r="L85" s="2" t="s">
        <v>691</v>
      </c>
      <c r="M85" s="2" t="s">
        <v>856</v>
      </c>
      <c r="N85" s="2" t="s">
        <v>554</v>
      </c>
      <c r="O85" s="2" t="s">
        <v>424</v>
      </c>
      <c r="P85" s="2" t="s">
        <v>431</v>
      </c>
      <c r="Q85" s="2" t="s">
        <v>555</v>
      </c>
    </row>
    <row r="86" spans="9:17" x14ac:dyDescent="0.25">
      <c r="I86" s="2" t="s">
        <v>243</v>
      </c>
      <c r="J86" s="2" t="s">
        <v>857</v>
      </c>
      <c r="K86" s="2" t="s">
        <v>170</v>
      </c>
      <c r="L86" s="2" t="s">
        <v>715</v>
      </c>
      <c r="M86" s="2" t="s">
        <v>858</v>
      </c>
      <c r="N86" s="2" t="s">
        <v>556</v>
      </c>
      <c r="O86" s="2" t="s">
        <v>448</v>
      </c>
      <c r="P86" s="2" t="s">
        <v>449</v>
      </c>
      <c r="Q86" s="2" t="s">
        <v>557</v>
      </c>
    </row>
    <row r="87" spans="9:17" x14ac:dyDescent="0.25">
      <c r="I87" s="2" t="s">
        <v>244</v>
      </c>
      <c r="J87" s="2" t="s">
        <v>859</v>
      </c>
      <c r="K87" s="2" t="s">
        <v>151</v>
      </c>
      <c r="L87" s="2" t="s">
        <v>701</v>
      </c>
      <c r="M87" s="2" t="s">
        <v>860</v>
      </c>
      <c r="N87" s="2" t="s">
        <v>558</v>
      </c>
      <c r="O87" s="2" t="s">
        <v>414</v>
      </c>
      <c r="P87" s="2" t="s">
        <v>439</v>
      </c>
      <c r="Q87" s="2" t="s">
        <v>559</v>
      </c>
    </row>
    <row r="88" spans="9:17" x14ac:dyDescent="0.25">
      <c r="I88" s="2" t="s">
        <v>245</v>
      </c>
      <c r="J88" s="2" t="s">
        <v>861</v>
      </c>
      <c r="K88" s="2" t="s">
        <v>149</v>
      </c>
      <c r="L88" s="2" t="s">
        <v>816</v>
      </c>
      <c r="M88" s="2" t="s">
        <v>862</v>
      </c>
      <c r="N88" s="2" t="s">
        <v>560</v>
      </c>
      <c r="O88" s="2" t="s">
        <v>411</v>
      </c>
      <c r="P88" s="2" t="s">
        <v>529</v>
      </c>
      <c r="Q88" s="2" t="s">
        <v>561</v>
      </c>
    </row>
    <row r="89" spans="9:17" x14ac:dyDescent="0.25">
      <c r="I89" s="2" t="s">
        <v>246</v>
      </c>
      <c r="J89" s="2" t="s">
        <v>863</v>
      </c>
      <c r="K89" s="2" t="s">
        <v>151</v>
      </c>
      <c r="L89" s="2" t="s">
        <v>676</v>
      </c>
      <c r="M89" s="2" t="s">
        <v>864</v>
      </c>
      <c r="N89" s="2" t="s">
        <v>562</v>
      </c>
      <c r="O89" s="2" t="s">
        <v>414</v>
      </c>
      <c r="P89" s="2" t="s">
        <v>415</v>
      </c>
      <c r="Q89" s="2" t="s">
        <v>563</v>
      </c>
    </row>
    <row r="90" spans="9:17" x14ac:dyDescent="0.25">
      <c r="I90" s="2" t="s">
        <v>247</v>
      </c>
      <c r="J90" s="2" t="s">
        <v>248</v>
      </c>
      <c r="K90" s="2" t="s">
        <v>151</v>
      </c>
      <c r="L90" s="2" t="s">
        <v>676</v>
      </c>
      <c r="M90" s="2" t="s">
        <v>865</v>
      </c>
      <c r="N90" s="2" t="s">
        <v>248</v>
      </c>
      <c r="O90" s="2" t="s">
        <v>414</v>
      </c>
      <c r="P90" s="2" t="s">
        <v>415</v>
      </c>
      <c r="Q90" s="2" t="s">
        <v>564</v>
      </c>
    </row>
    <row r="91" spans="9:17" x14ac:dyDescent="0.25">
      <c r="I91" s="2" t="s">
        <v>249</v>
      </c>
      <c r="J91" s="2" t="s">
        <v>866</v>
      </c>
      <c r="K91" s="2" t="s">
        <v>196</v>
      </c>
      <c r="L91" s="2" t="s">
        <v>761</v>
      </c>
      <c r="M91" s="2" t="s">
        <v>867</v>
      </c>
      <c r="N91" s="2" t="s">
        <v>565</v>
      </c>
      <c r="O91" s="2" t="s">
        <v>486</v>
      </c>
      <c r="P91" s="2" t="s">
        <v>487</v>
      </c>
      <c r="Q91" s="2" t="s">
        <v>566</v>
      </c>
    </row>
    <row r="92" spans="9:17" x14ac:dyDescent="0.25">
      <c r="I92" s="2" t="s">
        <v>250</v>
      </c>
      <c r="J92" s="2" t="s">
        <v>868</v>
      </c>
      <c r="K92" s="2" t="s">
        <v>156</v>
      </c>
      <c r="L92" s="2" t="s">
        <v>706</v>
      </c>
      <c r="M92" s="2" t="s">
        <v>869</v>
      </c>
      <c r="N92" s="2" t="s">
        <v>62</v>
      </c>
      <c r="O92" s="2" t="s">
        <v>424</v>
      </c>
      <c r="P92" s="2" t="s">
        <v>441</v>
      </c>
      <c r="Q92" s="2" t="s">
        <v>63</v>
      </c>
    </row>
    <row r="93" spans="9:17" x14ac:dyDescent="0.25">
      <c r="I93" s="2" t="s">
        <v>251</v>
      </c>
      <c r="J93" s="2" t="s">
        <v>870</v>
      </c>
      <c r="K93" s="2" t="s">
        <v>156</v>
      </c>
      <c r="L93" s="2" t="s">
        <v>741</v>
      </c>
      <c r="M93" s="2" t="s">
        <v>871</v>
      </c>
      <c r="N93" s="2" t="s">
        <v>65</v>
      </c>
      <c r="O93" s="2" t="s">
        <v>424</v>
      </c>
      <c r="P93" s="2" t="s">
        <v>466</v>
      </c>
      <c r="Q93" s="2" t="s">
        <v>66</v>
      </c>
    </row>
    <row r="94" spans="9:17" x14ac:dyDescent="0.25">
      <c r="I94" s="2" t="s">
        <v>252</v>
      </c>
      <c r="J94" s="2" t="s">
        <v>872</v>
      </c>
      <c r="K94" s="2" t="s">
        <v>154</v>
      </c>
      <c r="L94" s="2" t="s">
        <v>173</v>
      </c>
      <c r="M94" s="2" t="s">
        <v>873</v>
      </c>
      <c r="N94" s="2" t="s">
        <v>567</v>
      </c>
      <c r="O94" s="2" t="s">
        <v>421</v>
      </c>
      <c r="P94" s="2" t="s">
        <v>173</v>
      </c>
      <c r="Q94" s="2" t="s">
        <v>568</v>
      </c>
    </row>
    <row r="95" spans="9:17" x14ac:dyDescent="0.25">
      <c r="I95" s="2" t="s">
        <v>253</v>
      </c>
      <c r="J95" s="2" t="s">
        <v>874</v>
      </c>
      <c r="K95" s="2" t="s">
        <v>154</v>
      </c>
      <c r="L95" s="2" t="s">
        <v>173</v>
      </c>
      <c r="M95" s="2" t="s">
        <v>875</v>
      </c>
      <c r="N95" s="2" t="s">
        <v>569</v>
      </c>
      <c r="O95" s="2" t="s">
        <v>421</v>
      </c>
      <c r="P95" s="2" t="s">
        <v>173</v>
      </c>
      <c r="Q95" s="2" t="s">
        <v>570</v>
      </c>
    </row>
    <row r="96" spans="9:17" x14ac:dyDescent="0.25">
      <c r="I96" s="2" t="s">
        <v>254</v>
      </c>
      <c r="J96" s="2" t="s">
        <v>876</v>
      </c>
      <c r="K96" s="2" t="s">
        <v>149</v>
      </c>
      <c r="L96" s="2" t="s">
        <v>712</v>
      </c>
      <c r="M96" s="2" t="s">
        <v>877</v>
      </c>
      <c r="N96" s="2" t="s">
        <v>58</v>
      </c>
      <c r="O96" s="2" t="s">
        <v>411</v>
      </c>
      <c r="P96" s="2" t="s">
        <v>446</v>
      </c>
      <c r="Q96" s="2" t="s">
        <v>59</v>
      </c>
    </row>
    <row r="97" spans="9:17" x14ac:dyDescent="0.25">
      <c r="I97" s="2" t="s">
        <v>255</v>
      </c>
      <c r="J97" s="2" t="s">
        <v>878</v>
      </c>
      <c r="K97" s="2" t="s">
        <v>154</v>
      </c>
      <c r="L97" s="2" t="s">
        <v>173</v>
      </c>
      <c r="M97" s="2" t="s">
        <v>879</v>
      </c>
      <c r="N97" s="2" t="s">
        <v>571</v>
      </c>
      <c r="O97" s="2" t="s">
        <v>421</v>
      </c>
      <c r="P97" s="2" t="s">
        <v>173</v>
      </c>
      <c r="Q97" s="2" t="s">
        <v>572</v>
      </c>
    </row>
    <row r="98" spans="9:17" x14ac:dyDescent="0.25">
      <c r="I98" s="2" t="s">
        <v>256</v>
      </c>
      <c r="J98" s="2" t="s">
        <v>880</v>
      </c>
      <c r="K98" s="2" t="s">
        <v>149</v>
      </c>
      <c r="L98" s="2" t="s">
        <v>679</v>
      </c>
      <c r="M98" s="2" t="s">
        <v>881</v>
      </c>
      <c r="N98" s="2" t="s">
        <v>70</v>
      </c>
      <c r="O98" s="2" t="s">
        <v>411</v>
      </c>
      <c r="P98" s="2" t="s">
        <v>418</v>
      </c>
      <c r="Q98" s="2" t="s">
        <v>71</v>
      </c>
    </row>
    <row r="99" spans="9:17" x14ac:dyDescent="0.25">
      <c r="I99" s="2" t="s">
        <v>257</v>
      </c>
      <c r="J99" s="2" t="s">
        <v>882</v>
      </c>
      <c r="K99" s="2" t="s">
        <v>158</v>
      </c>
      <c r="L99" s="2" t="s">
        <v>697</v>
      </c>
      <c r="M99" s="2" t="s">
        <v>883</v>
      </c>
      <c r="N99" s="2" t="s">
        <v>396</v>
      </c>
      <c r="O99" s="2" t="s">
        <v>427</v>
      </c>
      <c r="P99" s="2" t="s">
        <v>435</v>
      </c>
      <c r="Q99" s="2" t="s">
        <v>397</v>
      </c>
    </row>
    <row r="100" spans="9:17" x14ac:dyDescent="0.25">
      <c r="I100" s="2" t="s">
        <v>258</v>
      </c>
      <c r="J100" s="2" t="s">
        <v>884</v>
      </c>
      <c r="K100" s="2" t="s">
        <v>149</v>
      </c>
      <c r="L100" s="2" t="s">
        <v>679</v>
      </c>
      <c r="M100" s="2" t="s">
        <v>885</v>
      </c>
      <c r="N100" s="2" t="s">
        <v>383</v>
      </c>
      <c r="O100" s="2" t="s">
        <v>411</v>
      </c>
      <c r="P100" s="2" t="s">
        <v>418</v>
      </c>
      <c r="Q100" s="2" t="s">
        <v>384</v>
      </c>
    </row>
    <row r="101" spans="9:17" x14ac:dyDescent="0.25">
      <c r="I101" s="2" t="s">
        <v>259</v>
      </c>
      <c r="J101" s="2" t="s">
        <v>886</v>
      </c>
      <c r="K101" s="2" t="s">
        <v>149</v>
      </c>
      <c r="L101" s="2" t="s">
        <v>821</v>
      </c>
      <c r="M101" s="2" t="s">
        <v>887</v>
      </c>
      <c r="N101" s="2" t="s">
        <v>573</v>
      </c>
      <c r="O101" s="2" t="s">
        <v>411</v>
      </c>
      <c r="P101" s="2" t="s">
        <v>531</v>
      </c>
      <c r="Q101" s="2" t="s">
        <v>574</v>
      </c>
    </row>
    <row r="102" spans="9:17" x14ac:dyDescent="0.25">
      <c r="I102" s="2" t="s">
        <v>260</v>
      </c>
      <c r="J102" s="2" t="s">
        <v>888</v>
      </c>
      <c r="K102" s="2" t="s">
        <v>170</v>
      </c>
      <c r="L102" s="2" t="s">
        <v>715</v>
      </c>
      <c r="M102" s="2" t="s">
        <v>889</v>
      </c>
      <c r="N102" s="2" t="s">
        <v>575</v>
      </c>
      <c r="O102" s="2" t="s">
        <v>448</v>
      </c>
      <c r="P102" s="2" t="s">
        <v>449</v>
      </c>
      <c r="Q102" s="2" t="s">
        <v>576</v>
      </c>
    </row>
    <row r="103" spans="9:17" x14ac:dyDescent="0.25">
      <c r="I103" s="2" t="s">
        <v>261</v>
      </c>
      <c r="J103" s="2" t="s">
        <v>890</v>
      </c>
      <c r="K103" s="2" t="s">
        <v>170</v>
      </c>
      <c r="L103" s="2" t="s">
        <v>715</v>
      </c>
      <c r="M103" s="2" t="s">
        <v>891</v>
      </c>
      <c r="N103" s="2" t="s">
        <v>577</v>
      </c>
      <c r="O103" s="2" t="s">
        <v>448</v>
      </c>
      <c r="P103" s="2" t="s">
        <v>449</v>
      </c>
      <c r="Q103" s="2" t="s">
        <v>578</v>
      </c>
    </row>
    <row r="104" spans="9:17" x14ac:dyDescent="0.25">
      <c r="I104" s="2" t="s">
        <v>262</v>
      </c>
      <c r="J104" s="2" t="s">
        <v>892</v>
      </c>
      <c r="K104" s="2" t="s">
        <v>158</v>
      </c>
      <c r="L104" s="2" t="s">
        <v>754</v>
      </c>
      <c r="M104" s="2" t="s">
        <v>893</v>
      </c>
      <c r="N104" s="2" t="s">
        <v>579</v>
      </c>
      <c r="O104" s="2" t="s">
        <v>427</v>
      </c>
      <c r="P104" s="2" t="s">
        <v>479</v>
      </c>
      <c r="Q104" s="2" t="s">
        <v>580</v>
      </c>
    </row>
    <row r="105" spans="9:17" x14ac:dyDescent="0.25">
      <c r="I105" s="2" t="s">
        <v>263</v>
      </c>
      <c r="J105" s="2" t="s">
        <v>894</v>
      </c>
      <c r="K105" s="2" t="s">
        <v>196</v>
      </c>
      <c r="L105" s="2" t="s">
        <v>799</v>
      </c>
      <c r="M105" s="2" t="s">
        <v>895</v>
      </c>
      <c r="N105" s="2" t="s">
        <v>581</v>
      </c>
      <c r="O105" s="2" t="s">
        <v>486</v>
      </c>
      <c r="P105" s="2" t="s">
        <v>513</v>
      </c>
      <c r="Q105" s="2" t="s">
        <v>582</v>
      </c>
    </row>
    <row r="106" spans="9:17" x14ac:dyDescent="0.25">
      <c r="I106" s="2" t="s">
        <v>264</v>
      </c>
      <c r="J106" s="2" t="s">
        <v>896</v>
      </c>
      <c r="K106" s="2" t="s">
        <v>170</v>
      </c>
      <c r="L106" s="2" t="s">
        <v>715</v>
      </c>
      <c r="M106" s="2" t="s">
        <v>897</v>
      </c>
      <c r="N106" s="2" t="s">
        <v>583</v>
      </c>
      <c r="O106" s="2" t="s">
        <v>448</v>
      </c>
      <c r="P106" s="2" t="s">
        <v>449</v>
      </c>
      <c r="Q106" s="2" t="s">
        <v>584</v>
      </c>
    </row>
    <row r="107" spans="9:17" x14ac:dyDescent="0.25">
      <c r="I107" s="2" t="s">
        <v>265</v>
      </c>
      <c r="J107" s="2" t="s">
        <v>898</v>
      </c>
      <c r="K107" s="2" t="s">
        <v>158</v>
      </c>
      <c r="L107" s="2" t="s">
        <v>694</v>
      </c>
      <c r="M107" s="2" t="s">
        <v>899</v>
      </c>
      <c r="N107" s="2" t="s">
        <v>585</v>
      </c>
      <c r="O107" s="2" t="s">
        <v>427</v>
      </c>
      <c r="P107" s="2" t="s">
        <v>433</v>
      </c>
      <c r="Q107" s="2" t="s">
        <v>586</v>
      </c>
    </row>
    <row r="108" spans="9:17" x14ac:dyDescent="0.25">
      <c r="I108" s="2" t="s">
        <v>266</v>
      </c>
      <c r="J108" s="2" t="s">
        <v>900</v>
      </c>
      <c r="K108" s="2" t="s">
        <v>196</v>
      </c>
      <c r="L108" s="2" t="s">
        <v>799</v>
      </c>
      <c r="M108" s="2" t="s">
        <v>901</v>
      </c>
      <c r="N108" s="2" t="s">
        <v>587</v>
      </c>
      <c r="O108" s="2" t="s">
        <v>486</v>
      </c>
      <c r="P108" s="2" t="s">
        <v>513</v>
      </c>
      <c r="Q108" s="2" t="s">
        <v>588</v>
      </c>
    </row>
    <row r="109" spans="9:17" x14ac:dyDescent="0.25">
      <c r="I109" s="2" t="s">
        <v>267</v>
      </c>
      <c r="J109" s="2" t="s">
        <v>902</v>
      </c>
      <c r="K109" s="2" t="s">
        <v>156</v>
      </c>
      <c r="L109" s="2" t="s">
        <v>836</v>
      </c>
      <c r="M109" s="2" t="s">
        <v>903</v>
      </c>
      <c r="N109" s="2" t="s">
        <v>88</v>
      </c>
      <c r="O109" s="2" t="s">
        <v>424</v>
      </c>
      <c r="P109" s="2" t="s">
        <v>539</v>
      </c>
      <c r="Q109" s="2" t="s">
        <v>89</v>
      </c>
    </row>
    <row r="110" spans="9:17" x14ac:dyDescent="0.25">
      <c r="I110" s="2" t="s">
        <v>268</v>
      </c>
      <c r="J110" s="2" t="s">
        <v>904</v>
      </c>
      <c r="K110" s="2" t="s">
        <v>196</v>
      </c>
      <c r="L110" s="2" t="s">
        <v>799</v>
      </c>
      <c r="M110" s="2" t="s">
        <v>905</v>
      </c>
      <c r="N110" s="2" t="s">
        <v>589</v>
      </c>
      <c r="O110" s="2" t="s">
        <v>486</v>
      </c>
      <c r="P110" s="2" t="s">
        <v>513</v>
      </c>
      <c r="Q110" s="2" t="s">
        <v>590</v>
      </c>
    </row>
    <row r="111" spans="9:17" x14ac:dyDescent="0.25">
      <c r="I111" s="2" t="s">
        <v>269</v>
      </c>
      <c r="J111" s="2" t="s">
        <v>906</v>
      </c>
      <c r="K111" s="2" t="s">
        <v>158</v>
      </c>
      <c r="L111" s="2" t="s">
        <v>754</v>
      </c>
      <c r="M111" s="2" t="s">
        <v>907</v>
      </c>
      <c r="N111" s="2" t="s">
        <v>591</v>
      </c>
      <c r="O111" s="2" t="s">
        <v>427</v>
      </c>
      <c r="P111" s="2" t="s">
        <v>479</v>
      </c>
      <c r="Q111" s="2" t="s">
        <v>592</v>
      </c>
    </row>
    <row r="112" spans="9:17" x14ac:dyDescent="0.25">
      <c r="I112" s="2" t="s">
        <v>270</v>
      </c>
      <c r="J112" s="2" t="s">
        <v>908</v>
      </c>
      <c r="K112" s="2" t="s">
        <v>170</v>
      </c>
      <c r="L112" s="2" t="s">
        <v>778</v>
      </c>
      <c r="M112" s="2" t="s">
        <v>909</v>
      </c>
      <c r="N112" s="2" t="s">
        <v>593</v>
      </c>
      <c r="O112" s="2" t="s">
        <v>448</v>
      </c>
      <c r="P112" s="2" t="s">
        <v>497</v>
      </c>
      <c r="Q112" s="2" t="s">
        <v>594</v>
      </c>
    </row>
    <row r="113" spans="9:17" x14ac:dyDescent="0.25">
      <c r="I113" s="2" t="s">
        <v>271</v>
      </c>
      <c r="J113" s="2" t="s">
        <v>910</v>
      </c>
      <c r="K113" s="2" t="s">
        <v>151</v>
      </c>
      <c r="L113" s="2" t="s">
        <v>676</v>
      </c>
      <c r="M113" s="2" t="s">
        <v>911</v>
      </c>
      <c r="N113" s="2" t="s">
        <v>595</v>
      </c>
      <c r="O113" s="2" t="s">
        <v>414</v>
      </c>
      <c r="P113" s="2" t="s">
        <v>415</v>
      </c>
      <c r="Q113" s="2" t="s">
        <v>596</v>
      </c>
    </row>
    <row r="114" spans="9:17" x14ac:dyDescent="0.25">
      <c r="I114" s="2" t="s">
        <v>272</v>
      </c>
      <c r="J114" s="2" t="s">
        <v>912</v>
      </c>
      <c r="K114" s="2" t="s">
        <v>170</v>
      </c>
      <c r="L114" s="2" t="s">
        <v>778</v>
      </c>
      <c r="M114" s="2" t="s">
        <v>913</v>
      </c>
      <c r="N114" s="2" t="s">
        <v>597</v>
      </c>
      <c r="O114" s="2" t="s">
        <v>448</v>
      </c>
      <c r="P114" s="2" t="s">
        <v>497</v>
      </c>
      <c r="Q114" s="2" t="s">
        <v>598</v>
      </c>
    </row>
    <row r="115" spans="9:17" x14ac:dyDescent="0.25">
      <c r="I115" s="2" t="s">
        <v>273</v>
      </c>
      <c r="J115" s="2" t="s">
        <v>914</v>
      </c>
      <c r="K115" s="2" t="s">
        <v>149</v>
      </c>
      <c r="L115" s="2" t="s">
        <v>679</v>
      </c>
      <c r="M115" s="2" t="s">
        <v>915</v>
      </c>
      <c r="N115" s="2" t="s">
        <v>599</v>
      </c>
      <c r="O115" s="2" t="s">
        <v>411</v>
      </c>
      <c r="P115" s="2" t="s">
        <v>418</v>
      </c>
      <c r="Q115" s="2" t="s">
        <v>600</v>
      </c>
    </row>
    <row r="116" spans="9:17" x14ac:dyDescent="0.25">
      <c r="I116" s="2" t="s">
        <v>274</v>
      </c>
      <c r="J116" s="2" t="s">
        <v>916</v>
      </c>
      <c r="K116" s="2" t="s">
        <v>170</v>
      </c>
      <c r="L116" s="2" t="s">
        <v>778</v>
      </c>
      <c r="M116" s="2" t="s">
        <v>917</v>
      </c>
      <c r="N116" s="2" t="s">
        <v>97</v>
      </c>
      <c r="O116" s="2" t="s">
        <v>448</v>
      </c>
      <c r="P116" s="2" t="s">
        <v>497</v>
      </c>
      <c r="Q116" s="2" t="s">
        <v>98</v>
      </c>
    </row>
    <row r="117" spans="9:17" x14ac:dyDescent="0.25">
      <c r="I117" s="2" t="s">
        <v>275</v>
      </c>
      <c r="J117" s="2" t="s">
        <v>918</v>
      </c>
      <c r="K117" s="2" t="s">
        <v>151</v>
      </c>
      <c r="L117" s="2" t="s">
        <v>676</v>
      </c>
      <c r="M117" s="2" t="s">
        <v>919</v>
      </c>
      <c r="N117" s="2" t="s">
        <v>601</v>
      </c>
      <c r="O117" s="2" t="s">
        <v>414</v>
      </c>
      <c r="P117" s="2" t="s">
        <v>415</v>
      </c>
      <c r="Q117" s="2" t="s">
        <v>602</v>
      </c>
    </row>
    <row r="118" spans="9:17" x14ac:dyDescent="0.25">
      <c r="I118" s="2" t="s">
        <v>276</v>
      </c>
      <c r="J118" s="2" t="s">
        <v>920</v>
      </c>
      <c r="K118" s="2" t="s">
        <v>149</v>
      </c>
      <c r="L118" s="2" t="s">
        <v>679</v>
      </c>
      <c r="M118" s="2" t="s">
        <v>921</v>
      </c>
      <c r="N118" s="2" t="s">
        <v>112</v>
      </c>
      <c r="O118" s="2" t="s">
        <v>411</v>
      </c>
      <c r="P118" s="2" t="s">
        <v>418</v>
      </c>
      <c r="Q118" s="2" t="s">
        <v>113</v>
      </c>
    </row>
    <row r="119" spans="9:17" x14ac:dyDescent="0.25">
      <c r="I119" s="2" t="s">
        <v>277</v>
      </c>
      <c r="J119" s="2" t="s">
        <v>922</v>
      </c>
      <c r="K119" s="2" t="s">
        <v>170</v>
      </c>
      <c r="L119" s="2" t="s">
        <v>778</v>
      </c>
      <c r="M119" s="2" t="s">
        <v>923</v>
      </c>
      <c r="N119" s="2" t="s">
        <v>28</v>
      </c>
      <c r="O119" s="2" t="s">
        <v>448</v>
      </c>
      <c r="P119" s="2" t="s">
        <v>497</v>
      </c>
      <c r="Q119" s="2" t="s">
        <v>29</v>
      </c>
    </row>
    <row r="120" spans="9:17" x14ac:dyDescent="0.25">
      <c r="I120" s="2" t="s">
        <v>278</v>
      </c>
      <c r="J120" s="2" t="s">
        <v>924</v>
      </c>
      <c r="K120" s="2" t="s">
        <v>149</v>
      </c>
      <c r="L120" s="2" t="s">
        <v>679</v>
      </c>
      <c r="M120" s="2" t="s">
        <v>925</v>
      </c>
      <c r="N120" s="2" t="s">
        <v>30</v>
      </c>
      <c r="O120" s="2" t="s">
        <v>411</v>
      </c>
      <c r="P120" s="2" t="s">
        <v>418</v>
      </c>
      <c r="Q120" s="2" t="s">
        <v>31</v>
      </c>
    </row>
    <row r="121" spans="9:17" x14ac:dyDescent="0.25">
      <c r="I121" s="2" t="s">
        <v>279</v>
      </c>
      <c r="J121" s="2" t="s">
        <v>926</v>
      </c>
      <c r="K121" s="2" t="s">
        <v>149</v>
      </c>
      <c r="L121" s="2" t="s">
        <v>679</v>
      </c>
      <c r="M121" s="2" t="s">
        <v>927</v>
      </c>
      <c r="N121" s="2" t="s">
        <v>73</v>
      </c>
      <c r="O121" s="2" t="s">
        <v>411</v>
      </c>
      <c r="P121" s="2" t="s">
        <v>418</v>
      </c>
      <c r="Q121" s="2" t="s">
        <v>74</v>
      </c>
    </row>
    <row r="122" spans="9:17" x14ac:dyDescent="0.25">
      <c r="I122" s="2" t="s">
        <v>280</v>
      </c>
      <c r="J122" s="2" t="s">
        <v>928</v>
      </c>
      <c r="K122" s="2" t="s">
        <v>156</v>
      </c>
      <c r="L122" s="2" t="s">
        <v>685</v>
      </c>
      <c r="M122" s="2" t="s">
        <v>929</v>
      </c>
      <c r="N122" s="2" t="s">
        <v>603</v>
      </c>
      <c r="O122" s="2" t="s">
        <v>424</v>
      </c>
      <c r="P122" s="2" t="s">
        <v>425</v>
      </c>
      <c r="Q122" s="2" t="s">
        <v>604</v>
      </c>
    </row>
    <row r="123" spans="9:17" x14ac:dyDescent="0.25">
      <c r="I123" s="2" t="s">
        <v>281</v>
      </c>
      <c r="J123" s="2" t="s">
        <v>930</v>
      </c>
      <c r="K123" s="2" t="s">
        <v>156</v>
      </c>
      <c r="L123" s="2" t="s">
        <v>685</v>
      </c>
      <c r="M123" s="2" t="s">
        <v>931</v>
      </c>
      <c r="N123" s="2" t="s">
        <v>605</v>
      </c>
      <c r="O123" s="2" t="s">
        <v>424</v>
      </c>
      <c r="P123" s="2" t="s">
        <v>425</v>
      </c>
      <c r="Q123" s="2" t="s">
        <v>606</v>
      </c>
    </row>
    <row r="124" spans="9:17" x14ac:dyDescent="0.25">
      <c r="I124" s="2" t="s">
        <v>282</v>
      </c>
      <c r="J124" s="2" t="s">
        <v>932</v>
      </c>
      <c r="K124" s="2" t="s">
        <v>158</v>
      </c>
      <c r="L124" s="2" t="s">
        <v>697</v>
      </c>
      <c r="M124" s="2" t="s">
        <v>933</v>
      </c>
      <c r="N124" s="2" t="s">
        <v>76</v>
      </c>
      <c r="O124" s="2" t="s">
        <v>427</v>
      </c>
      <c r="P124" s="2" t="s">
        <v>435</v>
      </c>
      <c r="Q124" s="2" t="s">
        <v>77</v>
      </c>
    </row>
    <row r="125" spans="9:17" x14ac:dyDescent="0.25">
      <c r="I125" s="2" t="s">
        <v>283</v>
      </c>
      <c r="J125" s="2" t="s">
        <v>934</v>
      </c>
      <c r="K125" s="2" t="s">
        <v>170</v>
      </c>
      <c r="L125" s="2" t="s">
        <v>718</v>
      </c>
      <c r="M125" s="2" t="s">
        <v>935</v>
      </c>
      <c r="N125" s="2" t="s">
        <v>38</v>
      </c>
      <c r="O125" s="2" t="s">
        <v>448</v>
      </c>
      <c r="P125" s="2" t="s">
        <v>451</v>
      </c>
      <c r="Q125" s="2" t="s">
        <v>39</v>
      </c>
    </row>
    <row r="126" spans="9:17" x14ac:dyDescent="0.25">
      <c r="I126" s="2" t="s">
        <v>284</v>
      </c>
      <c r="J126" s="2" t="s">
        <v>936</v>
      </c>
      <c r="K126" s="2" t="s">
        <v>196</v>
      </c>
      <c r="L126" s="2" t="s">
        <v>799</v>
      </c>
      <c r="M126" s="2" t="s">
        <v>937</v>
      </c>
      <c r="N126" s="2" t="s">
        <v>607</v>
      </c>
      <c r="O126" s="2" t="s">
        <v>486</v>
      </c>
      <c r="P126" s="2" t="s">
        <v>513</v>
      </c>
      <c r="Q126" s="2" t="s">
        <v>608</v>
      </c>
    </row>
    <row r="127" spans="9:17" x14ac:dyDescent="0.25">
      <c r="I127" s="2" t="s">
        <v>285</v>
      </c>
      <c r="J127" s="2" t="s">
        <v>938</v>
      </c>
      <c r="K127" s="2" t="s">
        <v>149</v>
      </c>
      <c r="L127" s="2" t="s">
        <v>679</v>
      </c>
      <c r="M127" s="2" t="s">
        <v>939</v>
      </c>
      <c r="N127" s="2" t="s">
        <v>609</v>
      </c>
      <c r="O127" s="2" t="s">
        <v>411</v>
      </c>
      <c r="P127" s="2" t="s">
        <v>418</v>
      </c>
      <c r="Q127" s="2" t="s">
        <v>610</v>
      </c>
    </row>
    <row r="128" spans="9:17" x14ac:dyDescent="0.25">
      <c r="I128" s="2" t="s">
        <v>286</v>
      </c>
      <c r="J128" s="2" t="s">
        <v>940</v>
      </c>
      <c r="K128" s="2" t="s">
        <v>149</v>
      </c>
      <c r="L128" s="2" t="s">
        <v>679</v>
      </c>
      <c r="M128" s="2" t="s">
        <v>941</v>
      </c>
      <c r="N128" s="2" t="s">
        <v>611</v>
      </c>
      <c r="O128" s="2" t="s">
        <v>411</v>
      </c>
      <c r="P128" s="2" t="s">
        <v>418</v>
      </c>
      <c r="Q128" s="2" t="s">
        <v>612</v>
      </c>
    </row>
    <row r="129" spans="9:17" x14ac:dyDescent="0.25">
      <c r="I129" s="2" t="s">
        <v>287</v>
      </c>
      <c r="J129" s="2" t="s">
        <v>942</v>
      </c>
      <c r="K129" s="2" t="s">
        <v>154</v>
      </c>
      <c r="L129" s="2" t="s">
        <v>682</v>
      </c>
      <c r="M129" s="2" t="s">
        <v>943</v>
      </c>
      <c r="N129" s="2" t="s">
        <v>613</v>
      </c>
      <c r="O129" s="2" t="s">
        <v>421</v>
      </c>
      <c r="P129" s="2" t="s">
        <v>422</v>
      </c>
      <c r="Q129" s="2" t="s">
        <v>614</v>
      </c>
    </row>
    <row r="130" spans="9:17" x14ac:dyDescent="0.25">
      <c r="I130" s="2" t="s">
        <v>288</v>
      </c>
      <c r="J130" s="2" t="s">
        <v>944</v>
      </c>
      <c r="K130" s="2" t="s">
        <v>158</v>
      </c>
      <c r="L130" s="2" t="s">
        <v>688</v>
      </c>
      <c r="M130" s="2" t="s">
        <v>945</v>
      </c>
      <c r="N130" s="2" t="s">
        <v>615</v>
      </c>
      <c r="O130" s="2" t="s">
        <v>427</v>
      </c>
      <c r="P130" s="2" t="s">
        <v>428</v>
      </c>
      <c r="Q130" s="2" t="s">
        <v>616</v>
      </c>
    </row>
    <row r="131" spans="9:17" x14ac:dyDescent="0.25">
      <c r="I131" s="2" t="s">
        <v>289</v>
      </c>
      <c r="J131" s="2" t="s">
        <v>946</v>
      </c>
      <c r="K131" s="2" t="s">
        <v>156</v>
      </c>
      <c r="L131" s="2" t="s">
        <v>691</v>
      </c>
      <c r="M131" s="2" t="s">
        <v>947</v>
      </c>
      <c r="N131" s="2" t="s">
        <v>617</v>
      </c>
      <c r="O131" s="2" t="s">
        <v>424</v>
      </c>
      <c r="P131" s="2" t="s">
        <v>431</v>
      </c>
      <c r="Q131" s="2" t="s">
        <v>618</v>
      </c>
    </row>
    <row r="132" spans="9:17" x14ac:dyDescent="0.25">
      <c r="I132" s="2" t="s">
        <v>290</v>
      </c>
      <c r="J132" s="2" t="s">
        <v>948</v>
      </c>
      <c r="K132" s="2" t="s">
        <v>154</v>
      </c>
      <c r="L132" s="2" t="s">
        <v>709</v>
      </c>
      <c r="M132" s="2" t="s">
        <v>949</v>
      </c>
      <c r="N132" s="2" t="s">
        <v>128</v>
      </c>
      <c r="O132" s="2" t="s">
        <v>421</v>
      </c>
      <c r="P132" s="2" t="s">
        <v>443</v>
      </c>
      <c r="Q132" s="2" t="s">
        <v>129</v>
      </c>
    </row>
    <row r="133" spans="9:17" x14ac:dyDescent="0.25">
      <c r="I133" s="2" t="s">
        <v>291</v>
      </c>
      <c r="J133" s="2" t="s">
        <v>950</v>
      </c>
      <c r="K133" s="2" t="s">
        <v>158</v>
      </c>
      <c r="L133" s="2" t="s">
        <v>754</v>
      </c>
      <c r="M133" s="2" t="s">
        <v>951</v>
      </c>
      <c r="N133" s="2" t="s">
        <v>43</v>
      </c>
      <c r="O133" s="2" t="s">
        <v>427</v>
      </c>
      <c r="P133" s="2" t="s">
        <v>479</v>
      </c>
      <c r="Q133" s="2" t="s">
        <v>44</v>
      </c>
    </row>
    <row r="134" spans="9:17" x14ac:dyDescent="0.25">
      <c r="I134" s="2" t="s">
        <v>292</v>
      </c>
      <c r="J134" s="2" t="s">
        <v>952</v>
      </c>
      <c r="K134" s="2" t="s">
        <v>158</v>
      </c>
      <c r="L134" s="2" t="s">
        <v>694</v>
      </c>
      <c r="M134" s="2" t="s">
        <v>953</v>
      </c>
      <c r="N134" s="2" t="s">
        <v>619</v>
      </c>
      <c r="O134" s="2" t="s">
        <v>427</v>
      </c>
      <c r="P134" s="2" t="s">
        <v>433</v>
      </c>
      <c r="Q134" s="2" t="s">
        <v>620</v>
      </c>
    </row>
    <row r="135" spans="9:17" x14ac:dyDescent="0.25">
      <c r="I135" s="2" t="s">
        <v>293</v>
      </c>
      <c r="J135" s="2" t="s">
        <v>954</v>
      </c>
      <c r="K135" s="2" t="s">
        <v>149</v>
      </c>
      <c r="L135" s="2" t="s">
        <v>821</v>
      </c>
      <c r="M135" s="2" t="s">
        <v>955</v>
      </c>
      <c r="N135" s="2" t="s">
        <v>621</v>
      </c>
      <c r="O135" s="2" t="s">
        <v>411</v>
      </c>
      <c r="P135" s="2" t="s">
        <v>531</v>
      </c>
      <c r="Q135" s="2" t="s">
        <v>622</v>
      </c>
    </row>
    <row r="136" spans="9:17" x14ac:dyDescent="0.25">
      <c r="I136" s="2" t="s">
        <v>294</v>
      </c>
      <c r="J136" s="2" t="s">
        <v>956</v>
      </c>
      <c r="K136" s="2" t="s">
        <v>151</v>
      </c>
      <c r="L136" s="2" t="s">
        <v>676</v>
      </c>
      <c r="M136" s="2" t="s">
        <v>957</v>
      </c>
      <c r="N136" s="2" t="s">
        <v>623</v>
      </c>
      <c r="O136" s="2" t="s">
        <v>414</v>
      </c>
      <c r="P136" s="2" t="s">
        <v>415</v>
      </c>
      <c r="Q136" s="2" t="s">
        <v>624</v>
      </c>
    </row>
    <row r="137" spans="9:17" x14ac:dyDescent="0.25">
      <c r="I137" s="2" t="s">
        <v>295</v>
      </c>
      <c r="J137" s="2" t="s">
        <v>958</v>
      </c>
      <c r="K137" s="2" t="s">
        <v>156</v>
      </c>
      <c r="L137" s="2" t="s">
        <v>836</v>
      </c>
      <c r="M137" s="2" t="s">
        <v>959</v>
      </c>
      <c r="N137" s="2" t="s">
        <v>25</v>
      </c>
      <c r="O137" s="2" t="s">
        <v>424</v>
      </c>
      <c r="P137" s="2" t="s">
        <v>539</v>
      </c>
      <c r="Q137" s="2" t="s">
        <v>26</v>
      </c>
    </row>
    <row r="138" spans="9:17" x14ac:dyDescent="0.25">
      <c r="I138" s="2" t="s">
        <v>296</v>
      </c>
      <c r="J138" s="2" t="s">
        <v>960</v>
      </c>
      <c r="K138" s="2" t="s">
        <v>158</v>
      </c>
      <c r="L138" s="2" t="s">
        <v>694</v>
      </c>
      <c r="M138" s="2" t="s">
        <v>961</v>
      </c>
      <c r="N138" s="2" t="s">
        <v>625</v>
      </c>
      <c r="O138" s="2" t="s">
        <v>427</v>
      </c>
      <c r="P138" s="2" t="s">
        <v>433</v>
      </c>
      <c r="Q138" s="2" t="s">
        <v>626</v>
      </c>
    </row>
    <row r="139" spans="9:17" x14ac:dyDescent="0.25">
      <c r="I139" s="2" t="s">
        <v>297</v>
      </c>
      <c r="J139" s="2" t="s">
        <v>962</v>
      </c>
      <c r="K139" s="2" t="s">
        <v>149</v>
      </c>
      <c r="L139" s="2" t="s">
        <v>679</v>
      </c>
      <c r="M139" s="2" t="s">
        <v>963</v>
      </c>
      <c r="N139" s="2" t="s">
        <v>627</v>
      </c>
      <c r="O139" s="2" t="s">
        <v>411</v>
      </c>
      <c r="P139" s="2" t="s">
        <v>418</v>
      </c>
      <c r="Q139" s="2" t="s">
        <v>628</v>
      </c>
    </row>
    <row r="140" spans="9:17" x14ac:dyDescent="0.25">
      <c r="I140" s="2" t="s">
        <v>298</v>
      </c>
      <c r="J140" s="2" t="s">
        <v>964</v>
      </c>
      <c r="K140" s="2" t="s">
        <v>149</v>
      </c>
      <c r="L140" s="2" t="s">
        <v>679</v>
      </c>
      <c r="M140" s="2" t="s">
        <v>965</v>
      </c>
      <c r="N140" s="2" t="s">
        <v>629</v>
      </c>
      <c r="O140" s="2" t="s">
        <v>411</v>
      </c>
      <c r="P140" s="2" t="s">
        <v>418</v>
      </c>
      <c r="Q140" s="2" t="s">
        <v>630</v>
      </c>
    </row>
    <row r="141" spans="9:17" x14ac:dyDescent="0.25">
      <c r="I141" s="2" t="s">
        <v>299</v>
      </c>
      <c r="J141" s="2" t="s">
        <v>966</v>
      </c>
      <c r="K141" s="2" t="s">
        <v>149</v>
      </c>
      <c r="L141" s="2" t="s">
        <v>679</v>
      </c>
      <c r="M141" s="2" t="s">
        <v>967</v>
      </c>
      <c r="N141" s="2" t="s">
        <v>362</v>
      </c>
      <c r="O141" s="2" t="s">
        <v>411</v>
      </c>
      <c r="P141" s="2" t="s">
        <v>418</v>
      </c>
      <c r="Q141" s="2" t="s">
        <v>363</v>
      </c>
    </row>
    <row r="142" spans="9:17" x14ac:dyDescent="0.25">
      <c r="I142" s="2" t="s">
        <v>300</v>
      </c>
      <c r="J142" s="2" t="s">
        <v>968</v>
      </c>
      <c r="K142" s="2" t="s">
        <v>149</v>
      </c>
      <c r="L142" s="2" t="s">
        <v>679</v>
      </c>
      <c r="M142" s="2" t="s">
        <v>969</v>
      </c>
      <c r="N142" s="2" t="s">
        <v>631</v>
      </c>
      <c r="O142" s="2" t="s">
        <v>411</v>
      </c>
      <c r="P142" s="2" t="s">
        <v>418</v>
      </c>
      <c r="Q142" s="2" t="s">
        <v>632</v>
      </c>
    </row>
    <row r="143" spans="9:17" x14ac:dyDescent="0.25">
      <c r="I143" s="2" t="s">
        <v>301</v>
      </c>
      <c r="J143" s="2" t="s">
        <v>970</v>
      </c>
      <c r="K143" s="2" t="s">
        <v>158</v>
      </c>
      <c r="L143" s="2" t="s">
        <v>694</v>
      </c>
      <c r="M143" s="2" t="s">
        <v>971</v>
      </c>
      <c r="N143" s="2" t="s">
        <v>633</v>
      </c>
      <c r="O143" s="2" t="s">
        <v>427</v>
      </c>
      <c r="P143" s="2" t="s">
        <v>433</v>
      </c>
      <c r="Q143" s="2" t="s">
        <v>634</v>
      </c>
    </row>
    <row r="144" spans="9:17" x14ac:dyDescent="0.25">
      <c r="I144" s="2" t="s">
        <v>302</v>
      </c>
      <c r="J144" s="2" t="s">
        <v>972</v>
      </c>
      <c r="K144" s="2" t="s">
        <v>154</v>
      </c>
      <c r="L144" s="2" t="s">
        <v>682</v>
      </c>
      <c r="M144" s="2" t="s">
        <v>973</v>
      </c>
      <c r="N144" s="2" t="s">
        <v>635</v>
      </c>
      <c r="O144" s="2" t="s">
        <v>421</v>
      </c>
      <c r="P144" s="2" t="s">
        <v>422</v>
      </c>
      <c r="Q144" s="2" t="s">
        <v>636</v>
      </c>
    </row>
    <row r="145" spans="9:17" x14ac:dyDescent="0.25">
      <c r="I145" s="2" t="s">
        <v>303</v>
      </c>
      <c r="J145" s="2" t="s">
        <v>974</v>
      </c>
      <c r="K145" s="2" t="s">
        <v>154</v>
      </c>
      <c r="L145" s="2" t="s">
        <v>709</v>
      </c>
      <c r="M145" s="2" t="s">
        <v>975</v>
      </c>
      <c r="N145" s="2" t="s">
        <v>637</v>
      </c>
      <c r="O145" s="2" t="s">
        <v>421</v>
      </c>
      <c r="P145" s="2" t="s">
        <v>443</v>
      </c>
      <c r="Q145" s="2" t="s">
        <v>638</v>
      </c>
    </row>
    <row r="146" spans="9:17" x14ac:dyDescent="0.25">
      <c r="I146" s="2" t="s">
        <v>304</v>
      </c>
      <c r="J146" s="2" t="s">
        <v>976</v>
      </c>
      <c r="K146" s="2" t="s">
        <v>158</v>
      </c>
      <c r="L146" s="2" t="s">
        <v>697</v>
      </c>
      <c r="M146" s="2" t="s">
        <v>977</v>
      </c>
      <c r="N146" s="2" t="s">
        <v>354</v>
      </c>
      <c r="O146" s="2" t="s">
        <v>427</v>
      </c>
      <c r="P146" s="2" t="s">
        <v>435</v>
      </c>
      <c r="Q146" s="2" t="s">
        <v>355</v>
      </c>
    </row>
    <row r="147" spans="9:17" x14ac:dyDescent="0.25">
      <c r="I147" s="2" t="s">
        <v>305</v>
      </c>
      <c r="J147" s="2" t="s">
        <v>978</v>
      </c>
      <c r="K147" s="2" t="s">
        <v>156</v>
      </c>
      <c r="L147" s="2" t="s">
        <v>691</v>
      </c>
      <c r="M147" s="2" t="s">
        <v>979</v>
      </c>
      <c r="N147" s="2" t="s">
        <v>639</v>
      </c>
      <c r="O147" s="2" t="s">
        <v>424</v>
      </c>
      <c r="P147" s="2" t="s">
        <v>431</v>
      </c>
      <c r="Q147" s="2" t="s">
        <v>640</v>
      </c>
    </row>
    <row r="148" spans="9:17" x14ac:dyDescent="0.25">
      <c r="I148" s="2" t="s">
        <v>306</v>
      </c>
      <c r="J148" s="2" t="s">
        <v>980</v>
      </c>
      <c r="K148" s="2" t="s">
        <v>196</v>
      </c>
      <c r="L148" s="2" t="s">
        <v>761</v>
      </c>
      <c r="M148" s="2" t="s">
        <v>981</v>
      </c>
      <c r="N148" s="2" t="s">
        <v>641</v>
      </c>
      <c r="O148" s="2" t="s">
        <v>486</v>
      </c>
      <c r="P148" s="2" t="s">
        <v>487</v>
      </c>
      <c r="Q148" s="2" t="s">
        <v>642</v>
      </c>
    </row>
    <row r="149" spans="9:17" x14ac:dyDescent="0.25">
      <c r="I149" s="2" t="s">
        <v>307</v>
      </c>
      <c r="J149" s="2" t="s">
        <v>982</v>
      </c>
      <c r="K149" s="2" t="s">
        <v>154</v>
      </c>
      <c r="L149" s="2" t="s">
        <v>682</v>
      </c>
      <c r="M149" s="2" t="s">
        <v>983</v>
      </c>
      <c r="N149" s="2" t="s">
        <v>643</v>
      </c>
      <c r="O149" s="2" t="s">
        <v>421</v>
      </c>
      <c r="P149" s="2" t="s">
        <v>422</v>
      </c>
      <c r="Q149" s="2" t="s">
        <v>644</v>
      </c>
    </row>
    <row r="150" spans="9:17" x14ac:dyDescent="0.25">
      <c r="I150" s="2" t="s">
        <v>308</v>
      </c>
      <c r="J150" s="2" t="s">
        <v>984</v>
      </c>
      <c r="K150" s="2" t="s">
        <v>156</v>
      </c>
      <c r="L150" s="2" t="s">
        <v>691</v>
      </c>
      <c r="M150" s="2" t="s">
        <v>985</v>
      </c>
      <c r="N150" s="2" t="s">
        <v>392</v>
      </c>
      <c r="O150" s="2" t="s">
        <v>424</v>
      </c>
      <c r="P150" s="2" t="s">
        <v>431</v>
      </c>
      <c r="Q150" s="2" t="s">
        <v>393</v>
      </c>
    </row>
    <row r="151" spans="9:17" x14ac:dyDescent="0.25">
      <c r="I151" s="2" t="s">
        <v>309</v>
      </c>
      <c r="J151" s="2" t="s">
        <v>986</v>
      </c>
      <c r="K151" s="2" t="s">
        <v>149</v>
      </c>
      <c r="L151" s="2" t="s">
        <v>679</v>
      </c>
      <c r="M151" s="2" t="s">
        <v>987</v>
      </c>
      <c r="N151" s="2" t="s">
        <v>645</v>
      </c>
      <c r="O151" s="2" t="s">
        <v>411</v>
      </c>
      <c r="P151" s="2" t="s">
        <v>418</v>
      </c>
      <c r="Q151" s="2" t="s">
        <v>646</v>
      </c>
    </row>
    <row r="152" spans="9:17" x14ac:dyDescent="0.25">
      <c r="I152" s="2" t="s">
        <v>310</v>
      </c>
      <c r="J152" s="2" t="s">
        <v>988</v>
      </c>
      <c r="K152" s="2" t="s">
        <v>158</v>
      </c>
      <c r="L152" s="2" t="s">
        <v>697</v>
      </c>
      <c r="M152" s="2" t="s">
        <v>989</v>
      </c>
      <c r="N152" s="2" t="s">
        <v>402</v>
      </c>
      <c r="O152" s="2" t="s">
        <v>427</v>
      </c>
      <c r="P152" s="2" t="s">
        <v>435</v>
      </c>
      <c r="Q152" s="2" t="s">
        <v>403</v>
      </c>
    </row>
    <row r="153" spans="9:17" x14ac:dyDescent="0.25">
      <c r="I153" s="2" t="s">
        <v>311</v>
      </c>
      <c r="J153" s="2" t="s">
        <v>990</v>
      </c>
      <c r="K153" s="2" t="s">
        <v>196</v>
      </c>
      <c r="L153" s="2" t="s">
        <v>761</v>
      </c>
      <c r="M153" s="2" t="s">
        <v>991</v>
      </c>
      <c r="N153" s="2" t="s">
        <v>647</v>
      </c>
      <c r="O153" s="2" t="s">
        <v>486</v>
      </c>
      <c r="P153" s="2" t="s">
        <v>487</v>
      </c>
      <c r="Q153" s="2" t="s">
        <v>648</v>
      </c>
    </row>
    <row r="154" spans="9:17" x14ac:dyDescent="0.25">
      <c r="I154" s="2" t="s">
        <v>312</v>
      </c>
      <c r="J154" s="2" t="s">
        <v>992</v>
      </c>
      <c r="K154" s="2" t="s">
        <v>156</v>
      </c>
      <c r="L154" s="2" t="s">
        <v>741</v>
      </c>
      <c r="M154" s="2" t="s">
        <v>993</v>
      </c>
      <c r="N154" s="2" t="s">
        <v>649</v>
      </c>
      <c r="O154" s="2" t="s">
        <v>424</v>
      </c>
      <c r="P154" s="2" t="s">
        <v>466</v>
      </c>
      <c r="Q154" s="2" t="s">
        <v>650</v>
      </c>
    </row>
    <row r="155" spans="9:17" x14ac:dyDescent="0.25">
      <c r="I155" s="2" t="s">
        <v>313</v>
      </c>
      <c r="J155" s="2" t="s">
        <v>994</v>
      </c>
      <c r="K155" s="2" t="s">
        <v>149</v>
      </c>
      <c r="L155" s="2" t="s">
        <v>679</v>
      </c>
      <c r="M155" s="2" t="s">
        <v>995</v>
      </c>
      <c r="N155" s="2" t="s">
        <v>13</v>
      </c>
      <c r="O155" s="2" t="s">
        <v>411</v>
      </c>
      <c r="P155" s="2" t="s">
        <v>418</v>
      </c>
      <c r="Q155" s="2" t="s">
        <v>14</v>
      </c>
    </row>
    <row r="156" spans="9:17" x14ac:dyDescent="0.25">
      <c r="I156" s="2" t="s">
        <v>314</v>
      </c>
      <c r="J156" s="2" t="s">
        <v>996</v>
      </c>
      <c r="K156" s="2" t="s">
        <v>156</v>
      </c>
      <c r="L156" s="2" t="s">
        <v>836</v>
      </c>
      <c r="M156" s="2" t="s">
        <v>997</v>
      </c>
      <c r="N156" s="2" t="s">
        <v>651</v>
      </c>
      <c r="O156" s="2" t="s">
        <v>424</v>
      </c>
      <c r="P156" s="2" t="s">
        <v>539</v>
      </c>
      <c r="Q156" s="2" t="s">
        <v>652</v>
      </c>
    </row>
    <row r="157" spans="9:17" x14ac:dyDescent="0.25">
      <c r="I157" s="2" t="s">
        <v>315</v>
      </c>
      <c r="J157" s="2" t="s">
        <v>998</v>
      </c>
      <c r="K157" s="2" t="s">
        <v>196</v>
      </c>
      <c r="L157" s="2" t="s">
        <v>761</v>
      </c>
      <c r="M157" s="2" t="s">
        <v>999</v>
      </c>
      <c r="N157" s="2" t="s">
        <v>653</v>
      </c>
      <c r="O157" s="2" t="s">
        <v>486</v>
      </c>
      <c r="P157" s="2" t="s">
        <v>487</v>
      </c>
      <c r="Q157" s="2" t="s">
        <v>654</v>
      </c>
    </row>
    <row r="158" spans="9:17" x14ac:dyDescent="0.25">
      <c r="I158" s="2" t="s">
        <v>316</v>
      </c>
      <c r="J158" s="2" t="s">
        <v>1000</v>
      </c>
      <c r="K158" s="2" t="s">
        <v>149</v>
      </c>
      <c r="L158" s="2" t="s">
        <v>673</v>
      </c>
      <c r="M158" s="2" t="s">
        <v>1001</v>
      </c>
      <c r="N158" s="2" t="s">
        <v>104</v>
      </c>
      <c r="O158" s="2" t="s">
        <v>411</v>
      </c>
      <c r="P158" s="2" t="s">
        <v>412</v>
      </c>
      <c r="Q158" s="2" t="s">
        <v>105</v>
      </c>
    </row>
    <row r="159" spans="9:17" x14ac:dyDescent="0.25">
      <c r="I159" s="2" t="s">
        <v>317</v>
      </c>
      <c r="J159" s="2" t="s">
        <v>1002</v>
      </c>
      <c r="K159" s="2" t="s">
        <v>149</v>
      </c>
      <c r="L159" s="2" t="s">
        <v>673</v>
      </c>
      <c r="M159" s="2" t="s">
        <v>1003</v>
      </c>
      <c r="N159" s="2" t="s">
        <v>655</v>
      </c>
      <c r="O159" s="2" t="s">
        <v>411</v>
      </c>
      <c r="P159" s="2" t="s">
        <v>412</v>
      </c>
      <c r="Q159" s="2" t="s">
        <v>656</v>
      </c>
    </row>
    <row r="160" spans="9:17" x14ac:dyDescent="0.25">
      <c r="I160" s="2" t="s">
        <v>318</v>
      </c>
      <c r="J160" s="2" t="s">
        <v>1004</v>
      </c>
      <c r="K160" s="2" t="s">
        <v>149</v>
      </c>
      <c r="L160" s="2" t="s">
        <v>673</v>
      </c>
      <c r="M160" s="2" t="s">
        <v>1005</v>
      </c>
      <c r="N160" s="2" t="s">
        <v>657</v>
      </c>
      <c r="O160" s="2" t="s">
        <v>411</v>
      </c>
      <c r="P160" s="2" t="s">
        <v>412</v>
      </c>
      <c r="Q160" s="2" t="s">
        <v>387</v>
      </c>
    </row>
    <row r="161" spans="9:17" x14ac:dyDescent="0.25">
      <c r="I161" s="2" t="s">
        <v>319</v>
      </c>
      <c r="J161" s="2" t="s">
        <v>1006</v>
      </c>
      <c r="K161" s="2" t="s">
        <v>158</v>
      </c>
      <c r="L161" s="2" t="s">
        <v>694</v>
      </c>
      <c r="M161" s="2" t="s">
        <v>1007</v>
      </c>
      <c r="N161" s="2" t="s">
        <v>18</v>
      </c>
      <c r="O161" s="2" t="s">
        <v>427</v>
      </c>
      <c r="P161" s="2" t="s">
        <v>433</v>
      </c>
      <c r="Q161" s="2" t="s">
        <v>19</v>
      </c>
    </row>
    <row r="162" spans="9:17" x14ac:dyDescent="0.25">
      <c r="I162" s="2" t="s">
        <v>320</v>
      </c>
      <c r="J162" s="2" t="s">
        <v>1008</v>
      </c>
      <c r="K162" s="2" t="s">
        <v>149</v>
      </c>
      <c r="L162" s="2" t="s">
        <v>712</v>
      </c>
      <c r="M162" s="2" t="s">
        <v>1009</v>
      </c>
      <c r="N162" s="2" t="s">
        <v>117</v>
      </c>
      <c r="O162" s="2" t="s">
        <v>411</v>
      </c>
      <c r="P162" s="2" t="s">
        <v>446</v>
      </c>
      <c r="Q162" s="2" t="s">
        <v>118</v>
      </c>
    </row>
    <row r="163" spans="9:17" x14ac:dyDescent="0.25">
      <c r="I163" s="2" t="s">
        <v>321</v>
      </c>
      <c r="J163" s="2" t="s">
        <v>1010</v>
      </c>
      <c r="K163" s="2" t="s">
        <v>158</v>
      </c>
      <c r="L163" s="2" t="s">
        <v>754</v>
      </c>
      <c r="M163" s="2" t="s">
        <v>1011</v>
      </c>
      <c r="N163" s="2" t="s">
        <v>658</v>
      </c>
      <c r="O163" s="2" t="s">
        <v>427</v>
      </c>
      <c r="P163" s="2" t="s">
        <v>479</v>
      </c>
      <c r="Q163" s="2" t="s">
        <v>659</v>
      </c>
    </row>
    <row r="164" spans="9:17" x14ac:dyDescent="0.25">
      <c r="I164" s="2" t="s">
        <v>322</v>
      </c>
      <c r="J164" s="2" t="s">
        <v>1012</v>
      </c>
      <c r="K164" s="2" t="s">
        <v>156</v>
      </c>
      <c r="L164" s="2" t="s">
        <v>836</v>
      </c>
      <c r="M164" s="2" t="s">
        <v>1013</v>
      </c>
      <c r="N164" s="2" t="s">
        <v>660</v>
      </c>
      <c r="O164" s="2" t="s">
        <v>424</v>
      </c>
      <c r="P164" s="2" t="s">
        <v>539</v>
      </c>
      <c r="Q164" s="2" t="s">
        <v>661</v>
      </c>
    </row>
    <row r="165" spans="9:17" x14ac:dyDescent="0.25">
      <c r="I165" s="2" t="s">
        <v>323</v>
      </c>
      <c r="J165" s="2" t="s">
        <v>1014</v>
      </c>
      <c r="K165" s="2" t="s">
        <v>196</v>
      </c>
      <c r="L165" s="2" t="s">
        <v>799</v>
      </c>
      <c r="M165" s="2" t="s">
        <v>1015</v>
      </c>
      <c r="N165" s="2" t="s">
        <v>662</v>
      </c>
      <c r="O165" s="2" t="s">
        <v>486</v>
      </c>
      <c r="P165" s="2" t="s">
        <v>513</v>
      </c>
      <c r="Q165" s="2" t="s">
        <v>663</v>
      </c>
    </row>
  </sheetData>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CB7FE-5CA4-4778-BB08-1225925F197F}">
  <dimension ref="B1:O123"/>
  <sheetViews>
    <sheetView tabSelected="1" workbookViewId="0">
      <selection activeCell="C7" sqref="C7"/>
    </sheetView>
  </sheetViews>
  <sheetFormatPr defaultRowHeight="15" outlineLevelCol="1" x14ac:dyDescent="0.25"/>
  <cols>
    <col min="1" max="1" width="34.7109375" customWidth="1"/>
    <col min="2" max="2" width="8.140625" customWidth="1"/>
    <col min="3" max="3" width="15.5703125" customWidth="1"/>
    <col min="4" max="5" width="69.42578125" customWidth="1"/>
    <col min="6" max="7" width="7.7109375" customWidth="1"/>
    <col min="8" max="14" width="7.7109375" customWidth="1" outlineLevel="1"/>
  </cols>
  <sheetData>
    <row r="1" spans="2:15" x14ac:dyDescent="0.25">
      <c r="B1" s="3" t="s">
        <v>1016</v>
      </c>
      <c r="C1" s="3" t="s">
        <v>1068</v>
      </c>
      <c r="O1" s="4"/>
    </row>
    <row r="2" spans="2:15" x14ac:dyDescent="0.25">
      <c r="B2" s="3"/>
    </row>
    <row r="3" spans="2:15" x14ac:dyDescent="0.25">
      <c r="B3" s="3"/>
      <c r="C3" s="3" t="str">
        <f>"1. Dans la colonne '" &amp; [1]!t_input[[#Headers],[feeling]]&amp; "', indiquez :"</f>
        <v>1. Dans la colonne 'feeling', indiquez :</v>
      </c>
    </row>
    <row r="4" spans="2:15" x14ac:dyDescent="0.25">
      <c r="B4" s="3"/>
      <c r="C4" s="3"/>
      <c r="D4" s="3" t="str">
        <f>_xlfn.LET(_xlpm.v,MATCH(MAX([1]!t_tools_feelings[coeff]),[1]!t_tools_feelings[coeff],0),
     _xlpm.ta,[1]!t_tools_feelings[feelings],
     _xlpm.tb,[1]!t_tools_feelings[descr],
     "'" &amp; INDEX(_xlpm.ta,_xlpm.v) &amp; "' si " &amp; INDEX(_xlpm.tb,_xlpm.v))</f>
        <v>'yes' si cet observable a PARFAITEMENT sa place dans ce projet</v>
      </c>
    </row>
    <row r="5" spans="2:15" x14ac:dyDescent="0.25">
      <c r="B5" s="3"/>
      <c r="C5" s="3"/>
      <c r="D5" s="3" t="str">
        <f>_xlfn.LET(_xlpm.v,MATCH(MIN([1]!t_tools_feelings[coeff]),[1]!t_tools_feelings[coeff],0),
     _xlpm.ta,[1]!t_tools_feelings[feelings],
     _xlpm.tb,[1]!t_tools_feelings[descr],
     "'" &amp; INDEX(_xlpm.ta,_xlpm.v) &amp; "' si " &amp; INDEX(_xlpm.tb,_xlpm.v))</f>
        <v>'?' si cet observable a PEUT-ETRE sa place dans ce projet</v>
      </c>
    </row>
    <row r="6" spans="2:15" x14ac:dyDescent="0.25">
      <c r="B6" s="3"/>
      <c r="C6" s="3"/>
      <c r="D6" s="3" t="s">
        <v>1025</v>
      </c>
    </row>
    <row r="7" spans="2:15" x14ac:dyDescent="0.25">
      <c r="B7" s="3"/>
      <c r="C7" s="3" t="str">
        <f>"2. Dans la colonne '" &amp; [1]!t_input[[#Headers],[priorité]]&amp; "', indiquez :"</f>
        <v>2. Dans la colonne 'priorité', indiquez :</v>
      </c>
    </row>
    <row r="8" spans="2:15" x14ac:dyDescent="0.25">
      <c r="B8" s="3"/>
      <c r="C8" s="3"/>
      <c r="D8" s="3" t="str">
        <f>_xlfn.LET(_xlpm.a,MIN([1]!t_tools_priorities[min]),
     _xlpm.b,INDEX([1]!t_tools_priorities[max],MATCH(_xlpm.a,[1]!t_tools_priorities[min],0)),
     _xlpm.c,INDEX([1]!t_tools_priorities[descr],MATCH(_xlpm.a,[1]!t_tools_priorities[min],0)),
     "un entier entre " &amp; _xlpm.a &amp; " et " &amp; _xlpm.b &amp; " si " &amp; _xlpm.c)</f>
        <v>un entier entre 1 et 3 si cet observable est FONDAMENTAL pour ce projet</v>
      </c>
      <c r="N8" s="4"/>
    </row>
    <row r="9" spans="2:15" x14ac:dyDescent="0.25">
      <c r="B9" s="3"/>
      <c r="C9" s="3"/>
      <c r="D9" s="3" t="str" cm="1">
        <f t="array" ref="D9">_xlfn.LET(_xlpm.a,INDEX([1]!t_tools_priorities[min],MATCH(1,([1]!t_tools_priorities[min]&lt;&gt;MAX([1]!t_tools_priorities[min]))*([1]!t_tools_priorities[min]&lt;&gt;MIN([1]!t_tools_priorities[min])),0)),
     _xlpm.b,INDEX([1]!t_tools_priorities[max],MATCH(_xlpm.a,[1]!t_tools_priorities[min],0)),
     _xlpm.c,INDEX([1]!t_tools_priorities[descr],MATCH(_xlpm.a,[1]!t_tools_priorities[min],0)),
     "un entier entre " &amp; _xlpm.a &amp; " et " &amp; _xlpm.b &amp; " si " &amp; _xlpm.c)</f>
        <v>un entier entre 4 et 10 si cet observable est SECONDAIRE pour ce projet</v>
      </c>
      <c r="H9" s="8" t="s">
        <v>1035</v>
      </c>
      <c r="N9" s="4"/>
    </row>
    <row r="10" spans="2:15" x14ac:dyDescent="0.25">
      <c r="C10" s="3"/>
      <c r="D10" s="3" t="str">
        <f>_xlfn.LET(_xlpm.a,MAX([1]!t_tools_priorities[min]),
     _xlpm.b,INDEX([1]!t_tools_priorities[max],MATCH(_xlpm.a,[1]!t_tools_priorities[min],0)),
     _xlpm.c,INDEX([1]!t_tools_priorities[descr],MATCH(_xlpm.a,[1]!t_tools_priorities[min],0)),
     "un entier entre " &amp; _xlpm.a &amp; " et " &amp; _xlpm.b &amp; " si " &amp; _xlpm.c)</f>
        <v>un entier entre 11 et 999 si cet observable est OPTIONNEL pour ce projet</v>
      </c>
      <c r="H10" s="8"/>
      <c r="N10" s="4"/>
    </row>
    <row r="11" spans="2:15" x14ac:dyDescent="0.25">
      <c r="D11" s="13" t="s">
        <v>1040</v>
      </c>
      <c r="H11" s="8"/>
      <c r="N11" s="4"/>
    </row>
    <row r="12" spans="2:15" x14ac:dyDescent="0.25">
      <c r="D12" s="13"/>
      <c r="H12" s="8"/>
      <c r="N12" s="4"/>
    </row>
    <row r="13" spans="2:15" x14ac:dyDescent="0.25">
      <c r="D13" s="13"/>
      <c r="H13" s="8"/>
      <c r="N13" s="4"/>
    </row>
    <row r="14" spans="2:15" x14ac:dyDescent="0.25">
      <c r="B14" t="s">
        <v>343</v>
      </c>
      <c r="C14" t="s">
        <v>341</v>
      </c>
      <c r="D14" t="s">
        <v>342</v>
      </c>
      <c r="E14" t="s">
        <v>1</v>
      </c>
      <c r="F14" t="s">
        <v>4</v>
      </c>
      <c r="G14" t="s">
        <v>344</v>
      </c>
      <c r="H14" s="5" t="s">
        <v>1031</v>
      </c>
      <c r="I14" s="5" t="s">
        <v>1026</v>
      </c>
      <c r="J14" s="5" t="s">
        <v>1027</v>
      </c>
      <c r="K14" s="5" t="s">
        <v>1028</v>
      </c>
      <c r="L14" s="5" t="s">
        <v>1029</v>
      </c>
      <c r="M14" s="5" t="s">
        <v>1030</v>
      </c>
      <c r="N14" s="5" t="s">
        <v>1022</v>
      </c>
    </row>
    <row r="15" spans="2:15" ht="45" x14ac:dyDescent="0.25">
      <c r="B15" s="1" t="s">
        <v>199</v>
      </c>
      <c r="C15" s="1" t="s">
        <v>47</v>
      </c>
      <c r="D15" s="1" t="s">
        <v>48</v>
      </c>
      <c r="E15" s="1" t="s">
        <v>85</v>
      </c>
      <c r="F15" s="21" t="s">
        <v>2</v>
      </c>
      <c r="G15" s="22">
        <v>1</v>
      </c>
      <c r="H15" s="6">
        <f>AVERAGEIFS(t_input[priorité],t_input[code],t_input[[#This Row],[code]])</f>
        <v>2.5555555555555554</v>
      </c>
      <c r="I15" s="6">
        <f>IFERROR(INDEX(t_tools_feelings[coeff],MATCH(t_input[[#This Row],[feeling]],t_tools_feelings[feelings],0))/(t_input[[#This Row],[priorité]]*t_input[[#This Row],[priorité]]),0)</f>
        <v>1</v>
      </c>
      <c r="J15" s="6">
        <f>SUMIFS(t_input[weight],t_input[code],t_input[[#This Row],[code]])</f>
        <v>2.8680555555555558</v>
      </c>
      <c r="K15" s="6">
        <f>SUM(t_input[sum_skill])</f>
        <v>127.10051888888896</v>
      </c>
      <c r="L15" s="7">
        <f>t_input[[#This Row],[sum_skill]]/t_input[[#This Row],[sum_module]]</f>
        <v>2.2565254497999374E-2</v>
      </c>
      <c r="M15" s="7">
        <f>SUMIFS(t_input[%obs],t_input[code],t_input[[#This Row],[code]])</f>
        <v>0.20308729048199436</v>
      </c>
      <c r="N15" s="6" t="str">
        <f>IF(t_input[[#This Row],[%skill]]&gt;LARGE(t_tools_priorities[threshold],1),"Fondamentales",IF(t_input[[#This Row],[%skill]]&gt;LARGE(t_tools_priorities[threshold],2),"Secondaires","Accessoires"))</f>
        <v>Fondamentales</v>
      </c>
    </row>
    <row r="16" spans="2:15" ht="75" x14ac:dyDescent="0.25">
      <c r="B16" s="1" t="s">
        <v>199</v>
      </c>
      <c r="C16" s="1" t="s">
        <v>47</v>
      </c>
      <c r="D16" s="1" t="s">
        <v>48</v>
      </c>
      <c r="E16" s="1" t="s">
        <v>54</v>
      </c>
      <c r="F16" s="21" t="s">
        <v>2</v>
      </c>
      <c r="G16" s="22">
        <v>1</v>
      </c>
      <c r="H16" s="6">
        <f>AVERAGEIFS(t_input[priorité],t_input[code],t_input[[#This Row],[code]])</f>
        <v>2.5555555555555554</v>
      </c>
      <c r="I16" s="6">
        <f>IFERROR(INDEX(t_tools_feelings[coeff],MATCH(t_input[[#This Row],[feeling]],t_tools_feelings[feelings],0))/(t_input[[#This Row],[priorité]]*t_input[[#This Row],[priorité]]),0)</f>
        <v>1</v>
      </c>
      <c r="J16" s="6">
        <f>SUMIFS(t_input[weight],t_input[code],t_input[[#This Row],[code]])</f>
        <v>2.8680555555555558</v>
      </c>
      <c r="K16" s="6">
        <f>SUM(t_input[sum_skill])</f>
        <v>127.10051888888896</v>
      </c>
      <c r="L16" s="7">
        <f>t_input[[#This Row],[sum_skill]]/t_input[[#This Row],[sum_module]]</f>
        <v>2.2565254497999374E-2</v>
      </c>
      <c r="M16" s="7">
        <f>SUMIFS(t_input[%obs],t_input[code],t_input[[#This Row],[code]])</f>
        <v>0.20308729048199436</v>
      </c>
      <c r="N16" s="6" t="str">
        <f>IF(t_input[[#This Row],[%skill]]&gt;LARGE(t_tools_priorities[threshold],1),"Fondamentales",IF(t_input[[#This Row],[%skill]]&gt;LARGE(t_tools_priorities[threshold],2),"Secondaires","Accessoires"))</f>
        <v>Fondamentales</v>
      </c>
    </row>
    <row r="17" spans="2:14" ht="45" x14ac:dyDescent="0.25">
      <c r="B17" s="1" t="s">
        <v>199</v>
      </c>
      <c r="C17" s="1" t="s">
        <v>47</v>
      </c>
      <c r="D17" s="1" t="s">
        <v>48</v>
      </c>
      <c r="E17" s="1" t="s">
        <v>53</v>
      </c>
      <c r="F17" s="21" t="s">
        <v>2</v>
      </c>
      <c r="G17" s="22">
        <v>2</v>
      </c>
      <c r="H17" s="6">
        <f>AVERAGEIFS(t_input[priorité],t_input[code],t_input[[#This Row],[code]])</f>
        <v>2.5555555555555554</v>
      </c>
      <c r="I17" s="6">
        <f>IFERROR(INDEX(t_tools_feelings[coeff],MATCH(t_input[[#This Row],[feeling]],t_tools_feelings[feelings],0))/(t_input[[#This Row],[priorité]]*t_input[[#This Row],[priorité]]),0)</f>
        <v>0.25</v>
      </c>
      <c r="J17" s="6">
        <f>SUMIFS(t_input[weight],t_input[code],t_input[[#This Row],[code]])</f>
        <v>2.8680555555555558</v>
      </c>
      <c r="K17" s="6">
        <f>SUM(t_input[sum_skill])</f>
        <v>127.10051888888896</v>
      </c>
      <c r="L17" s="7">
        <f>t_input[[#This Row],[sum_skill]]/t_input[[#This Row],[sum_module]]</f>
        <v>2.2565254497999374E-2</v>
      </c>
      <c r="M17" s="7">
        <f>SUMIFS(t_input[%obs],t_input[code],t_input[[#This Row],[code]])</f>
        <v>0.20308729048199436</v>
      </c>
      <c r="N17" s="6" t="str">
        <f>IF(t_input[[#This Row],[%skill]]&gt;LARGE(t_tools_priorities[threshold],1),"Fondamentales",IF(t_input[[#This Row],[%skill]]&gt;LARGE(t_tools_priorities[threshold],2),"Secondaires","Accessoires"))</f>
        <v>Fondamentales</v>
      </c>
    </row>
    <row r="18" spans="2:14" ht="45" x14ac:dyDescent="0.25">
      <c r="B18" s="1" t="s">
        <v>199</v>
      </c>
      <c r="C18" s="1" t="s">
        <v>47</v>
      </c>
      <c r="D18" s="1" t="s">
        <v>48</v>
      </c>
      <c r="E18" s="1" t="s">
        <v>49</v>
      </c>
      <c r="F18" s="21" t="s">
        <v>2</v>
      </c>
      <c r="G18" s="22">
        <v>3</v>
      </c>
      <c r="H18" s="6">
        <f>AVERAGEIFS(t_input[priorité],t_input[code],t_input[[#This Row],[code]])</f>
        <v>2.5555555555555554</v>
      </c>
      <c r="I18" s="6">
        <f>IFERROR(INDEX(t_tools_feelings[coeff],MATCH(t_input[[#This Row],[feeling]],t_tools_feelings[feelings],0))/(t_input[[#This Row],[priorité]]*t_input[[#This Row],[priorité]]),0)</f>
        <v>0.1111111111111111</v>
      </c>
      <c r="J18" s="6">
        <f>SUMIFS(t_input[weight],t_input[code],t_input[[#This Row],[code]])</f>
        <v>2.8680555555555558</v>
      </c>
      <c r="K18" s="6">
        <f>SUM(t_input[sum_skill])</f>
        <v>127.10051888888896</v>
      </c>
      <c r="L18" s="7">
        <f>t_input[[#This Row],[sum_skill]]/t_input[[#This Row],[sum_module]]</f>
        <v>2.2565254497999374E-2</v>
      </c>
      <c r="M18" s="7">
        <f>SUMIFS(t_input[%obs],t_input[code],t_input[[#This Row],[code]])</f>
        <v>0.20308729048199436</v>
      </c>
      <c r="N18" s="6" t="str">
        <f>IF(t_input[[#This Row],[%skill]]&gt;LARGE(t_tools_priorities[threshold],1),"Fondamentales",IF(t_input[[#This Row],[%skill]]&gt;LARGE(t_tools_priorities[threshold],2),"Secondaires","Accessoires"))</f>
        <v>Fondamentales</v>
      </c>
    </row>
    <row r="19" spans="2:14" ht="45" x14ac:dyDescent="0.25">
      <c r="B19" s="1" t="s">
        <v>199</v>
      </c>
      <c r="C19" s="1" t="s">
        <v>47</v>
      </c>
      <c r="D19" s="1" t="s">
        <v>48</v>
      </c>
      <c r="E19" s="1" t="s">
        <v>51</v>
      </c>
      <c r="F19" s="21" t="s">
        <v>2</v>
      </c>
      <c r="G19" s="22">
        <v>3</v>
      </c>
      <c r="H19" s="6">
        <f>AVERAGEIFS(t_input[priorité],t_input[code],t_input[[#This Row],[code]])</f>
        <v>2.5555555555555554</v>
      </c>
      <c r="I19" s="6">
        <f>IFERROR(INDEX(t_tools_feelings[coeff],MATCH(t_input[[#This Row],[feeling]],t_tools_feelings[feelings],0))/(t_input[[#This Row],[priorité]]*t_input[[#This Row],[priorité]]),0)</f>
        <v>0.1111111111111111</v>
      </c>
      <c r="J19" s="6">
        <f>SUMIFS(t_input[weight],t_input[code],t_input[[#This Row],[code]])</f>
        <v>2.8680555555555558</v>
      </c>
      <c r="K19" s="6">
        <f>SUM(t_input[sum_skill])</f>
        <v>127.10051888888896</v>
      </c>
      <c r="L19" s="7">
        <f>t_input[[#This Row],[sum_skill]]/t_input[[#This Row],[sum_module]]</f>
        <v>2.2565254497999374E-2</v>
      </c>
      <c r="M19" s="7">
        <f>SUMIFS(t_input[%obs],t_input[code],t_input[[#This Row],[code]])</f>
        <v>0.20308729048199436</v>
      </c>
      <c r="N19" s="6" t="str">
        <f>IF(t_input[[#This Row],[%skill]]&gt;LARGE(t_tools_priorities[threshold],1),"Fondamentales",IF(t_input[[#This Row],[%skill]]&gt;LARGE(t_tools_priorities[threshold],2),"Secondaires","Accessoires"))</f>
        <v>Fondamentales</v>
      </c>
    </row>
    <row r="20" spans="2:14" ht="45" x14ac:dyDescent="0.25">
      <c r="B20" s="1" t="s">
        <v>199</v>
      </c>
      <c r="C20" s="1" t="s">
        <v>47</v>
      </c>
      <c r="D20" s="1" t="s">
        <v>48</v>
      </c>
      <c r="E20" s="1" t="s">
        <v>366</v>
      </c>
      <c r="F20" s="21" t="s">
        <v>2</v>
      </c>
      <c r="G20" s="22">
        <v>3</v>
      </c>
      <c r="H20" s="6">
        <f>AVERAGEIFS(t_input[priorité],t_input[code],t_input[[#This Row],[code]])</f>
        <v>2.5555555555555554</v>
      </c>
      <c r="I20" s="6">
        <f>IFERROR(INDEX(t_tools_feelings[coeff],MATCH(t_input[[#This Row],[feeling]],t_tools_feelings[feelings],0))/(t_input[[#This Row],[priorité]]*t_input[[#This Row],[priorité]]),0)</f>
        <v>0.1111111111111111</v>
      </c>
      <c r="J20" s="6">
        <f>SUMIFS(t_input[weight],t_input[code],t_input[[#This Row],[code]])</f>
        <v>2.8680555555555558</v>
      </c>
      <c r="K20" s="6">
        <f>SUM(t_input[sum_skill])</f>
        <v>127.10051888888896</v>
      </c>
      <c r="L20" s="7">
        <f>t_input[[#This Row],[sum_skill]]/t_input[[#This Row],[sum_module]]</f>
        <v>2.2565254497999374E-2</v>
      </c>
      <c r="M20" s="7">
        <f>SUMIFS(t_input[%obs],t_input[code],t_input[[#This Row],[code]])</f>
        <v>0.20308729048199436</v>
      </c>
      <c r="N20" s="6" t="str">
        <f>IF(t_input[[#This Row],[%skill]]&gt;LARGE(t_tools_priorities[threshold],1),"Fondamentales",IF(t_input[[#This Row],[%skill]]&gt;LARGE(t_tools_priorities[threshold],2),"Secondaires","Accessoires"))</f>
        <v>Fondamentales</v>
      </c>
    </row>
    <row r="21" spans="2:14" ht="45" x14ac:dyDescent="0.25">
      <c r="B21" s="1" t="s">
        <v>199</v>
      </c>
      <c r="C21" s="1" t="s">
        <v>47</v>
      </c>
      <c r="D21" s="1" t="s">
        <v>48</v>
      </c>
      <c r="E21" s="1" t="s">
        <v>52</v>
      </c>
      <c r="F21" s="22" t="s">
        <v>2</v>
      </c>
      <c r="G21" s="22">
        <v>3</v>
      </c>
      <c r="H21" s="6">
        <f>AVERAGEIFS(t_input[priorité],t_input[code],t_input[[#This Row],[code]])</f>
        <v>2.5555555555555554</v>
      </c>
      <c r="I21" s="6">
        <f>IFERROR(INDEX(t_tools_feelings[coeff],MATCH(t_input[[#This Row],[feeling]],t_tools_feelings[feelings],0))/(t_input[[#This Row],[priorité]]*t_input[[#This Row],[priorité]]),0)</f>
        <v>0.1111111111111111</v>
      </c>
      <c r="J21" s="6">
        <f>SUMIFS(t_input[weight],t_input[code],t_input[[#This Row],[code]])</f>
        <v>2.8680555555555558</v>
      </c>
      <c r="K21" s="6">
        <f>SUM(t_input[sum_skill])</f>
        <v>127.10051888888896</v>
      </c>
      <c r="L21" s="7">
        <f>t_input[[#This Row],[sum_skill]]/t_input[[#This Row],[sum_module]]</f>
        <v>2.2565254497999374E-2</v>
      </c>
      <c r="M21" s="7">
        <f>SUMIFS(t_input[%obs],t_input[code],t_input[[#This Row],[code]])</f>
        <v>0.20308729048199436</v>
      </c>
      <c r="N21" s="6" t="str">
        <f>IF(t_input[[#This Row],[%skill]]&gt;LARGE(t_tools_priorities[threshold],1),"Fondamentales",IF(t_input[[#This Row],[%skill]]&gt;LARGE(t_tools_priorities[threshold],2),"Secondaires","Accessoires"))</f>
        <v>Fondamentales</v>
      </c>
    </row>
    <row r="22" spans="2:14" ht="45" x14ac:dyDescent="0.25">
      <c r="B22" s="1" t="s">
        <v>199</v>
      </c>
      <c r="C22" s="1" t="s">
        <v>47</v>
      </c>
      <c r="D22" s="1" t="s">
        <v>48</v>
      </c>
      <c r="E22" s="1" t="s">
        <v>367</v>
      </c>
      <c r="F22" s="22" t="s">
        <v>2</v>
      </c>
      <c r="G22" s="22">
        <v>3</v>
      </c>
      <c r="H22" s="6">
        <f>AVERAGEIFS(t_input[priorité],t_input[code],t_input[[#This Row],[code]])</f>
        <v>2.5555555555555554</v>
      </c>
      <c r="I22" s="6">
        <f>IFERROR(INDEX(t_tools_feelings[coeff],MATCH(t_input[[#This Row],[feeling]],t_tools_feelings[feelings],0))/(t_input[[#This Row],[priorité]]*t_input[[#This Row],[priorité]]),0)</f>
        <v>0.1111111111111111</v>
      </c>
      <c r="J22" s="6">
        <f>SUMIFS(t_input[weight],t_input[code],t_input[[#This Row],[code]])</f>
        <v>2.8680555555555558</v>
      </c>
      <c r="K22" s="6">
        <f>SUM(t_input[sum_skill])</f>
        <v>127.10051888888896</v>
      </c>
      <c r="L22" s="7">
        <f>t_input[[#This Row],[sum_skill]]/t_input[[#This Row],[sum_module]]</f>
        <v>2.2565254497999374E-2</v>
      </c>
      <c r="M22" s="7">
        <f>SUMIFS(t_input[%obs],t_input[code],t_input[[#This Row],[code]])</f>
        <v>0.20308729048199436</v>
      </c>
      <c r="N22" s="6" t="str">
        <f>IF(t_input[[#This Row],[%skill]]&gt;LARGE(t_tools_priorities[threshold],1),"Fondamentales",IF(t_input[[#This Row],[%skill]]&gt;LARGE(t_tools_priorities[threshold],2),"Secondaires","Accessoires"))</f>
        <v>Fondamentales</v>
      </c>
    </row>
    <row r="23" spans="2:14" ht="45" x14ac:dyDescent="0.25">
      <c r="B23" s="1" t="s">
        <v>199</v>
      </c>
      <c r="C23" s="1" t="s">
        <v>47</v>
      </c>
      <c r="D23" s="1" t="s">
        <v>48</v>
      </c>
      <c r="E23" s="1" t="s">
        <v>50</v>
      </c>
      <c r="F23" s="22" t="s">
        <v>2</v>
      </c>
      <c r="G23" s="22">
        <v>4</v>
      </c>
      <c r="H23" s="6">
        <f>AVERAGEIFS(t_input[priorité],t_input[code],t_input[[#This Row],[code]])</f>
        <v>2.5555555555555554</v>
      </c>
      <c r="I23" s="6">
        <f>IFERROR(INDEX(t_tools_feelings[coeff],MATCH(t_input[[#This Row],[feeling]],t_tools_feelings[feelings],0))/(t_input[[#This Row],[priorité]]*t_input[[#This Row],[priorité]]),0)</f>
        <v>6.25E-2</v>
      </c>
      <c r="J23" s="6">
        <f>SUMIFS(t_input[weight],t_input[code],t_input[[#This Row],[code]])</f>
        <v>2.8680555555555558</v>
      </c>
      <c r="K23" s="6">
        <f>SUM(t_input[sum_skill])</f>
        <v>127.10051888888896</v>
      </c>
      <c r="L23" s="7">
        <f>t_input[[#This Row],[sum_skill]]/t_input[[#This Row],[sum_module]]</f>
        <v>2.2565254497999374E-2</v>
      </c>
      <c r="M23" s="7">
        <f>SUMIFS(t_input[%obs],t_input[code],t_input[[#This Row],[code]])</f>
        <v>0.20308729048199436</v>
      </c>
      <c r="N23" s="6" t="str">
        <f>IF(t_input[[#This Row],[%skill]]&gt;LARGE(t_tools_priorities[threshold],1),"Fondamentales",IF(t_input[[#This Row],[%skill]]&gt;LARGE(t_tools_priorities[threshold],2),"Secondaires","Accessoires"))</f>
        <v>Fondamentales</v>
      </c>
    </row>
    <row r="24" spans="2:14" ht="30" x14ac:dyDescent="0.25">
      <c r="B24" s="1" t="s">
        <v>197</v>
      </c>
      <c r="C24" s="1" t="s">
        <v>7</v>
      </c>
      <c r="D24" s="1" t="s">
        <v>8</v>
      </c>
      <c r="E24" s="1" t="s">
        <v>345</v>
      </c>
      <c r="F24" s="21" t="s">
        <v>2</v>
      </c>
      <c r="G24" s="22">
        <v>1</v>
      </c>
      <c r="H24" s="6">
        <f>AVERAGEIFS(t_input[priorité],t_input[code],t_input[[#This Row],[code]])</f>
        <v>1.8333333333333333</v>
      </c>
      <c r="I24" s="6">
        <f>IFERROR(INDEX(t_tools_feelings[coeff],MATCH(t_input[[#This Row],[feeling]],t_tools_feelings[feelings],0))/(t_input[[#This Row],[priorité]]*t_input[[#This Row],[priorité]]),0)</f>
        <v>1</v>
      </c>
      <c r="J24" s="6">
        <f>SUMIFS(t_input[weight],t_input[code],t_input[[#This Row],[code]])</f>
        <v>3.4722222222222223</v>
      </c>
      <c r="K24" s="6">
        <f>SUM(t_input[sum_skill])</f>
        <v>127.10051888888896</v>
      </c>
      <c r="L24" s="7">
        <f>t_input[[#This Row],[sum_skill]]/t_input[[#This Row],[sum_module]]</f>
        <v>2.7318710046004082E-2</v>
      </c>
      <c r="M24" s="7">
        <f>SUMIFS(t_input[%obs],t_input[code],t_input[[#This Row],[code]])</f>
        <v>0.16391226027602449</v>
      </c>
      <c r="N24" s="6" t="str">
        <f>IF(t_input[[#This Row],[%skill]]&gt;LARGE(t_tools_priorities[threshold],1),"Fondamentales",IF(t_input[[#This Row],[%skill]]&gt;LARGE(t_tools_priorities[threshold],2),"Secondaires","Accessoires"))</f>
        <v>Fondamentales</v>
      </c>
    </row>
    <row r="25" spans="2:14" ht="30" x14ac:dyDescent="0.25">
      <c r="B25" s="1" t="s">
        <v>197</v>
      </c>
      <c r="C25" s="1" t="s">
        <v>7</v>
      </c>
      <c r="D25" s="1" t="s">
        <v>8</v>
      </c>
      <c r="E25" s="1" t="s">
        <v>46</v>
      </c>
      <c r="F25" s="21" t="s">
        <v>2</v>
      </c>
      <c r="G25" s="22">
        <v>1</v>
      </c>
      <c r="H25" s="6">
        <f>AVERAGEIFS(t_input[priorité],t_input[code],t_input[[#This Row],[code]])</f>
        <v>1.8333333333333333</v>
      </c>
      <c r="I25" s="6">
        <f>IFERROR(INDEX(t_tools_feelings[coeff],MATCH(t_input[[#This Row],[feeling]],t_tools_feelings[feelings],0))/(t_input[[#This Row],[priorité]]*t_input[[#This Row],[priorité]]),0)</f>
        <v>1</v>
      </c>
      <c r="J25" s="6">
        <f>SUMIFS(t_input[weight],t_input[code],t_input[[#This Row],[code]])</f>
        <v>3.4722222222222223</v>
      </c>
      <c r="K25" s="6">
        <f>SUM(t_input[sum_skill])</f>
        <v>127.10051888888896</v>
      </c>
      <c r="L25" s="7">
        <f>t_input[[#This Row],[sum_skill]]/t_input[[#This Row],[sum_module]]</f>
        <v>2.7318710046004082E-2</v>
      </c>
      <c r="M25" s="7">
        <f>SUMIFS(t_input[%obs],t_input[code],t_input[[#This Row],[code]])</f>
        <v>0.16391226027602449</v>
      </c>
      <c r="N25" s="6" t="str">
        <f>IF(t_input[[#This Row],[%skill]]&gt;LARGE(t_tools_priorities[threshold],1),"Fondamentales",IF(t_input[[#This Row],[%skill]]&gt;LARGE(t_tools_priorities[threshold],2),"Secondaires","Accessoires"))</f>
        <v>Fondamentales</v>
      </c>
    </row>
    <row r="26" spans="2:14" ht="30" x14ac:dyDescent="0.25">
      <c r="B26" s="1" t="s">
        <v>197</v>
      </c>
      <c r="C26" s="1" t="s">
        <v>7</v>
      </c>
      <c r="D26" s="1" t="s">
        <v>8</v>
      </c>
      <c r="E26" s="1" t="s">
        <v>346</v>
      </c>
      <c r="F26" s="21" t="s">
        <v>2</v>
      </c>
      <c r="G26" s="22">
        <v>1</v>
      </c>
      <c r="H26" s="6">
        <f>AVERAGEIFS(t_input[priorité],t_input[code],t_input[[#This Row],[code]])</f>
        <v>1.8333333333333333</v>
      </c>
      <c r="I26" s="6">
        <f>IFERROR(INDEX(t_tools_feelings[coeff],MATCH(t_input[[#This Row],[feeling]],t_tools_feelings[feelings],0))/(t_input[[#This Row],[priorité]]*t_input[[#This Row],[priorité]]),0)</f>
        <v>1</v>
      </c>
      <c r="J26" s="6">
        <f>SUMIFS(t_input[weight],t_input[code],t_input[[#This Row],[code]])</f>
        <v>3.4722222222222223</v>
      </c>
      <c r="K26" s="6">
        <f>SUM(t_input[sum_skill])</f>
        <v>127.10051888888896</v>
      </c>
      <c r="L26" s="7">
        <f>t_input[[#This Row],[sum_skill]]/t_input[[#This Row],[sum_module]]</f>
        <v>2.7318710046004082E-2</v>
      </c>
      <c r="M26" s="7">
        <f>SUMIFS(t_input[%obs],t_input[code],t_input[[#This Row],[code]])</f>
        <v>0.16391226027602449</v>
      </c>
      <c r="N26" s="6" t="str">
        <f>IF(t_input[[#This Row],[%skill]]&gt;LARGE(t_tools_priorities[threshold],1),"Fondamentales",IF(t_input[[#This Row],[%skill]]&gt;LARGE(t_tools_priorities[threshold],2),"Secondaires","Accessoires"))</f>
        <v>Fondamentales</v>
      </c>
    </row>
    <row r="27" spans="2:14" ht="30" x14ac:dyDescent="0.25">
      <c r="B27" s="1" t="s">
        <v>197</v>
      </c>
      <c r="C27" s="1" t="s">
        <v>7</v>
      </c>
      <c r="D27" s="1" t="s">
        <v>8</v>
      </c>
      <c r="E27" s="1" t="s">
        <v>357</v>
      </c>
      <c r="F27" s="21" t="s">
        <v>2</v>
      </c>
      <c r="G27" s="22">
        <v>2</v>
      </c>
      <c r="H27" s="6">
        <f>AVERAGEIFS(t_input[priorité],t_input[code],t_input[[#This Row],[code]])</f>
        <v>1.8333333333333333</v>
      </c>
      <c r="I27" s="6">
        <f>IFERROR(INDEX(t_tools_feelings[coeff],MATCH(t_input[[#This Row],[feeling]],t_tools_feelings[feelings],0))/(t_input[[#This Row],[priorité]]*t_input[[#This Row],[priorité]]),0)</f>
        <v>0.25</v>
      </c>
      <c r="J27" s="6">
        <f>SUMIFS(t_input[weight],t_input[code],t_input[[#This Row],[code]])</f>
        <v>3.4722222222222223</v>
      </c>
      <c r="K27" s="6">
        <f>SUM(t_input[sum_skill])</f>
        <v>127.10051888888896</v>
      </c>
      <c r="L27" s="7">
        <f>t_input[[#This Row],[sum_skill]]/t_input[[#This Row],[sum_module]]</f>
        <v>2.7318710046004082E-2</v>
      </c>
      <c r="M27" s="7">
        <f>SUMIFS(t_input[%obs],t_input[code],t_input[[#This Row],[code]])</f>
        <v>0.16391226027602449</v>
      </c>
      <c r="N27" s="6" t="str">
        <f>IF(t_input[[#This Row],[%skill]]&gt;LARGE(t_tools_priorities[threshold],1),"Fondamentales",IF(t_input[[#This Row],[%skill]]&gt;LARGE(t_tools_priorities[threshold],2),"Secondaires","Accessoires"))</f>
        <v>Fondamentales</v>
      </c>
    </row>
    <row r="28" spans="2:14" ht="30" x14ac:dyDescent="0.25">
      <c r="B28" s="1" t="s">
        <v>197</v>
      </c>
      <c r="C28" s="1" t="s">
        <v>7</v>
      </c>
      <c r="D28" s="1" t="s">
        <v>8</v>
      </c>
      <c r="E28" s="1" t="s">
        <v>45</v>
      </c>
      <c r="F28" s="21" t="s">
        <v>2</v>
      </c>
      <c r="G28" s="22">
        <v>3</v>
      </c>
      <c r="H28" s="6">
        <f>AVERAGEIFS(t_input[priorité],t_input[code],t_input[[#This Row],[code]])</f>
        <v>1.8333333333333333</v>
      </c>
      <c r="I28" s="6">
        <f>IFERROR(INDEX(t_tools_feelings[coeff],MATCH(t_input[[#This Row],[feeling]],t_tools_feelings[feelings],0))/(t_input[[#This Row],[priorité]]*t_input[[#This Row],[priorité]]),0)</f>
        <v>0.1111111111111111</v>
      </c>
      <c r="J28" s="6">
        <f>SUMIFS(t_input[weight],t_input[code],t_input[[#This Row],[code]])</f>
        <v>3.4722222222222223</v>
      </c>
      <c r="K28" s="6">
        <f>SUM(t_input[sum_skill])</f>
        <v>127.10051888888896</v>
      </c>
      <c r="L28" s="7">
        <f>t_input[[#This Row],[sum_skill]]/t_input[[#This Row],[sum_module]]</f>
        <v>2.7318710046004082E-2</v>
      </c>
      <c r="M28" s="7">
        <f>SUMIFS(t_input[%obs],t_input[code],t_input[[#This Row],[code]])</f>
        <v>0.16391226027602449</v>
      </c>
      <c r="N28" s="6" t="str">
        <f>IF(t_input[[#This Row],[%skill]]&gt;LARGE(t_tools_priorities[threshold],1),"Fondamentales",IF(t_input[[#This Row],[%skill]]&gt;LARGE(t_tools_priorities[threshold],2),"Secondaires","Accessoires"))</f>
        <v>Fondamentales</v>
      </c>
    </row>
    <row r="29" spans="2:14" ht="30" x14ac:dyDescent="0.25">
      <c r="B29" s="1" t="s">
        <v>197</v>
      </c>
      <c r="C29" s="1" t="s">
        <v>7</v>
      </c>
      <c r="D29" s="1" t="s">
        <v>8</v>
      </c>
      <c r="E29" s="1" t="s">
        <v>9</v>
      </c>
      <c r="F29" s="21" t="s">
        <v>2</v>
      </c>
      <c r="G29" s="22">
        <v>3</v>
      </c>
      <c r="H29" s="6">
        <f>AVERAGEIFS(t_input[priorité],t_input[code],t_input[[#This Row],[code]])</f>
        <v>1.8333333333333333</v>
      </c>
      <c r="I29" s="6">
        <f>IFERROR(INDEX(t_tools_feelings[coeff],MATCH(t_input[[#This Row],[feeling]],t_tools_feelings[feelings],0))/(t_input[[#This Row],[priorité]]*t_input[[#This Row],[priorité]]),0)</f>
        <v>0.1111111111111111</v>
      </c>
      <c r="J29" s="6">
        <f>SUMIFS(t_input[weight],t_input[code],t_input[[#This Row],[code]])</f>
        <v>3.4722222222222223</v>
      </c>
      <c r="K29" s="6">
        <f>SUM(t_input[sum_skill])</f>
        <v>127.10051888888896</v>
      </c>
      <c r="L29" s="7">
        <f>t_input[[#This Row],[sum_skill]]/t_input[[#This Row],[sum_module]]</f>
        <v>2.7318710046004082E-2</v>
      </c>
      <c r="M29" s="7">
        <f>SUMIFS(t_input[%obs],t_input[code],t_input[[#This Row],[code]])</f>
        <v>0.16391226027602449</v>
      </c>
      <c r="N29" s="6" t="str">
        <f>IF(t_input[[#This Row],[%skill]]&gt;LARGE(t_tools_priorities[threshold],1),"Fondamentales",IF(t_input[[#This Row],[%skill]]&gt;LARGE(t_tools_priorities[threshold],2),"Secondaires","Accessoires"))</f>
        <v>Fondamentales</v>
      </c>
    </row>
    <row r="30" spans="2:14" ht="45" x14ac:dyDescent="0.25">
      <c r="B30" s="1" t="s">
        <v>198</v>
      </c>
      <c r="C30" s="1" t="s">
        <v>81</v>
      </c>
      <c r="D30" s="1" t="s">
        <v>82</v>
      </c>
      <c r="E30" s="1" t="s">
        <v>110</v>
      </c>
      <c r="F30" s="21" t="s">
        <v>2</v>
      </c>
      <c r="G30" s="22">
        <v>1</v>
      </c>
      <c r="H30" s="6">
        <f>AVERAGEIFS(t_input[priorité],t_input[code],t_input[[#This Row],[code]])</f>
        <v>2.6666666666666665</v>
      </c>
      <c r="I30" s="6">
        <f>IFERROR(INDEX(t_tools_feelings[coeff],MATCH(t_input[[#This Row],[feeling]],t_tools_feelings[feelings],0))/(t_input[[#This Row],[priorité]]*t_input[[#This Row],[priorité]]),0)</f>
        <v>1</v>
      </c>
      <c r="J30" s="6">
        <f>SUMIFS(t_input[weight],t_input[code],t_input[[#This Row],[code]])</f>
        <v>3.3177777777777777</v>
      </c>
      <c r="K30" s="6">
        <f>SUM(t_input[sum_skill])</f>
        <v>127.10051888888896</v>
      </c>
      <c r="L30" s="7">
        <f>t_input[[#This Row],[sum_skill]]/t_input[[#This Row],[sum_module]]</f>
        <v>2.6103573823157818E-2</v>
      </c>
      <c r="M30" s="7">
        <f>SUMIFS(t_input[%obs],t_input[code],t_input[[#This Row],[code]])</f>
        <v>0.15662144293894689</v>
      </c>
      <c r="N30" s="6" t="str">
        <f>IF(t_input[[#This Row],[%skill]]&gt;LARGE(t_tools_priorities[threshold],1),"Fondamentales",IF(t_input[[#This Row],[%skill]]&gt;LARGE(t_tools_priorities[threshold],2),"Secondaires","Accessoires"))</f>
        <v>Fondamentales</v>
      </c>
    </row>
    <row r="31" spans="2:14" ht="30" x14ac:dyDescent="0.25">
      <c r="B31" s="1" t="s">
        <v>198</v>
      </c>
      <c r="C31" s="1" t="s">
        <v>81</v>
      </c>
      <c r="D31" s="1" t="s">
        <v>82</v>
      </c>
      <c r="E31" s="1" t="s">
        <v>347</v>
      </c>
      <c r="F31" s="21" t="s">
        <v>2</v>
      </c>
      <c r="G31" s="22">
        <v>1</v>
      </c>
      <c r="H31" s="6">
        <f>AVERAGEIFS(t_input[priorité],t_input[code],t_input[[#This Row],[code]])</f>
        <v>2.6666666666666665</v>
      </c>
      <c r="I31" s="6">
        <f>IFERROR(INDEX(t_tools_feelings[coeff],MATCH(t_input[[#This Row],[feeling]],t_tools_feelings[feelings],0))/(t_input[[#This Row],[priorité]]*t_input[[#This Row],[priorité]]),0)</f>
        <v>1</v>
      </c>
      <c r="J31" s="6">
        <f>SUMIFS(t_input[weight],t_input[code],t_input[[#This Row],[code]])</f>
        <v>3.3177777777777777</v>
      </c>
      <c r="K31" s="6">
        <f>SUM(t_input[sum_skill])</f>
        <v>127.10051888888896</v>
      </c>
      <c r="L31" s="7">
        <f>t_input[[#This Row],[sum_skill]]/t_input[[#This Row],[sum_module]]</f>
        <v>2.6103573823157818E-2</v>
      </c>
      <c r="M31" s="7">
        <f>SUMIFS(t_input[%obs],t_input[code],t_input[[#This Row],[code]])</f>
        <v>0.15662144293894689</v>
      </c>
      <c r="N31" s="6" t="str">
        <f>IF(t_input[[#This Row],[%skill]]&gt;LARGE(t_tools_priorities[threshold],1),"Fondamentales",IF(t_input[[#This Row],[%skill]]&gt;LARGE(t_tools_priorities[threshold],2),"Secondaires","Accessoires"))</f>
        <v>Fondamentales</v>
      </c>
    </row>
    <row r="32" spans="2:14" ht="30" x14ac:dyDescent="0.25">
      <c r="B32" s="1" t="s">
        <v>198</v>
      </c>
      <c r="C32" s="1" t="s">
        <v>81</v>
      </c>
      <c r="D32" s="1" t="s">
        <v>82</v>
      </c>
      <c r="E32" s="1" t="s">
        <v>348</v>
      </c>
      <c r="F32" s="21" t="s">
        <v>2</v>
      </c>
      <c r="G32" s="22">
        <v>1</v>
      </c>
      <c r="H32" s="6">
        <f>AVERAGEIFS(t_input[priorité],t_input[code],t_input[[#This Row],[code]])</f>
        <v>2.6666666666666665</v>
      </c>
      <c r="I32" s="6">
        <f>IFERROR(INDEX(t_tools_feelings[coeff],MATCH(t_input[[#This Row],[feeling]],t_tools_feelings[feelings],0))/(t_input[[#This Row],[priorité]]*t_input[[#This Row],[priorité]]),0)</f>
        <v>1</v>
      </c>
      <c r="J32" s="6">
        <f>SUMIFS(t_input[weight],t_input[code],t_input[[#This Row],[code]])</f>
        <v>3.3177777777777777</v>
      </c>
      <c r="K32" s="6">
        <f>SUM(t_input[sum_skill])</f>
        <v>127.10051888888896</v>
      </c>
      <c r="L32" s="7">
        <f>t_input[[#This Row],[sum_skill]]/t_input[[#This Row],[sum_module]]</f>
        <v>2.6103573823157818E-2</v>
      </c>
      <c r="M32" s="7">
        <f>SUMIFS(t_input[%obs],t_input[code],t_input[[#This Row],[code]])</f>
        <v>0.15662144293894689</v>
      </c>
      <c r="N32" s="6" t="str">
        <f>IF(t_input[[#This Row],[%skill]]&gt;LARGE(t_tools_priorities[threshold],1),"Fondamentales",IF(t_input[[#This Row],[%skill]]&gt;LARGE(t_tools_priorities[threshold],2),"Secondaires","Accessoires"))</f>
        <v>Fondamentales</v>
      </c>
    </row>
    <row r="33" spans="2:14" ht="30" x14ac:dyDescent="0.25">
      <c r="B33" s="1" t="s">
        <v>198</v>
      </c>
      <c r="C33" s="1" t="s">
        <v>81</v>
      </c>
      <c r="D33" s="1" t="s">
        <v>82</v>
      </c>
      <c r="E33" s="1" t="s">
        <v>358</v>
      </c>
      <c r="F33" s="21" t="s">
        <v>2</v>
      </c>
      <c r="G33" s="22">
        <v>2</v>
      </c>
      <c r="H33" s="6">
        <f>AVERAGEIFS(t_input[priorité],t_input[code],t_input[[#This Row],[code]])</f>
        <v>2.6666666666666665</v>
      </c>
      <c r="I33" s="6">
        <f>IFERROR(INDEX(t_tools_feelings[coeff],MATCH(t_input[[#This Row],[feeling]],t_tools_feelings[feelings],0))/(t_input[[#This Row],[priorité]]*t_input[[#This Row],[priorité]]),0)</f>
        <v>0.25</v>
      </c>
      <c r="J33" s="6">
        <f>SUMIFS(t_input[weight],t_input[code],t_input[[#This Row],[code]])</f>
        <v>3.3177777777777777</v>
      </c>
      <c r="K33" s="6">
        <f>SUM(t_input[sum_skill])</f>
        <v>127.10051888888896</v>
      </c>
      <c r="L33" s="7">
        <f>t_input[[#This Row],[sum_skill]]/t_input[[#This Row],[sum_module]]</f>
        <v>2.6103573823157818E-2</v>
      </c>
      <c r="M33" s="7">
        <f>SUMIFS(t_input[%obs],t_input[code],t_input[[#This Row],[code]])</f>
        <v>0.15662144293894689</v>
      </c>
      <c r="N33" s="6" t="str">
        <f>IF(t_input[[#This Row],[%skill]]&gt;LARGE(t_tools_priorities[threshold],1),"Fondamentales",IF(t_input[[#This Row],[%skill]]&gt;LARGE(t_tools_priorities[threshold],2),"Secondaires","Accessoires"))</f>
        <v>Fondamentales</v>
      </c>
    </row>
    <row r="34" spans="2:14" ht="30" x14ac:dyDescent="0.25">
      <c r="B34" s="1" t="s">
        <v>198</v>
      </c>
      <c r="C34" s="1" t="s">
        <v>81</v>
      </c>
      <c r="D34" s="1" t="s">
        <v>82</v>
      </c>
      <c r="E34" s="1" t="s">
        <v>374</v>
      </c>
      <c r="F34" s="21" t="s">
        <v>2</v>
      </c>
      <c r="G34" s="22">
        <v>5</v>
      </c>
      <c r="H34" s="6">
        <f>AVERAGEIFS(t_input[priorité],t_input[code],t_input[[#This Row],[code]])</f>
        <v>2.6666666666666665</v>
      </c>
      <c r="I34" s="6">
        <f>IFERROR(INDEX(t_tools_feelings[coeff],MATCH(t_input[[#This Row],[feeling]],t_tools_feelings[feelings],0))/(t_input[[#This Row],[priorité]]*t_input[[#This Row],[priorité]]),0)</f>
        <v>0.04</v>
      </c>
      <c r="J34" s="6">
        <f>SUMIFS(t_input[weight],t_input[code],t_input[[#This Row],[code]])</f>
        <v>3.3177777777777777</v>
      </c>
      <c r="K34" s="6">
        <f>SUM(t_input[sum_skill])</f>
        <v>127.10051888888896</v>
      </c>
      <c r="L34" s="7">
        <f>t_input[[#This Row],[sum_skill]]/t_input[[#This Row],[sum_module]]</f>
        <v>2.6103573823157818E-2</v>
      </c>
      <c r="M34" s="7">
        <f>SUMIFS(t_input[%obs],t_input[code],t_input[[#This Row],[code]])</f>
        <v>0.15662144293894689</v>
      </c>
      <c r="N34" s="6" t="str">
        <f>IF(t_input[[#This Row],[%skill]]&gt;LARGE(t_tools_priorities[threshold],1),"Fondamentales",IF(t_input[[#This Row],[%skill]]&gt;LARGE(t_tools_priorities[threshold],2),"Secondaires","Accessoires"))</f>
        <v>Fondamentales</v>
      </c>
    </row>
    <row r="35" spans="2:14" ht="30" x14ac:dyDescent="0.25">
      <c r="B35" s="1" t="s">
        <v>198</v>
      </c>
      <c r="C35" s="1" t="s">
        <v>81</v>
      </c>
      <c r="D35" s="1" t="s">
        <v>82</v>
      </c>
      <c r="E35" s="1" t="s">
        <v>380</v>
      </c>
      <c r="F35" s="21" t="s">
        <v>2</v>
      </c>
      <c r="G35" s="22">
        <v>6</v>
      </c>
      <c r="H35" s="6">
        <f>AVERAGEIFS(t_input[priorité],t_input[code],t_input[[#This Row],[code]])</f>
        <v>2.6666666666666665</v>
      </c>
      <c r="I35" s="6">
        <f>IFERROR(INDEX(t_tools_feelings[coeff],MATCH(t_input[[#This Row],[feeling]],t_tools_feelings[feelings],0))/(t_input[[#This Row],[priorité]]*t_input[[#This Row],[priorité]]),0)</f>
        <v>2.7777777777777776E-2</v>
      </c>
      <c r="J35" s="6">
        <f>SUMIFS(t_input[weight],t_input[code],t_input[[#This Row],[code]])</f>
        <v>3.3177777777777777</v>
      </c>
      <c r="K35" s="6">
        <f>SUM(t_input[sum_skill])</f>
        <v>127.10051888888896</v>
      </c>
      <c r="L35" s="7">
        <f>t_input[[#This Row],[sum_skill]]/t_input[[#This Row],[sum_module]]</f>
        <v>2.6103573823157818E-2</v>
      </c>
      <c r="M35" s="7">
        <f>SUMIFS(t_input[%obs],t_input[code],t_input[[#This Row],[code]])</f>
        <v>0.15662144293894689</v>
      </c>
      <c r="N35" s="6" t="str">
        <f>IF(t_input[[#This Row],[%skill]]&gt;LARGE(t_tools_priorities[threshold],1),"Fondamentales",IF(t_input[[#This Row],[%skill]]&gt;LARGE(t_tools_priorities[threshold],2),"Secondaires","Accessoires"))</f>
        <v>Fondamentales</v>
      </c>
    </row>
    <row r="36" spans="2:14" ht="45" x14ac:dyDescent="0.25">
      <c r="B36" s="1" t="s">
        <v>254</v>
      </c>
      <c r="C36" s="1" t="s">
        <v>58</v>
      </c>
      <c r="D36" s="1" t="s">
        <v>59</v>
      </c>
      <c r="E36" s="1" t="s">
        <v>351</v>
      </c>
      <c r="F36" s="22" t="s">
        <v>3</v>
      </c>
      <c r="G36" s="22">
        <v>1</v>
      </c>
      <c r="H36" s="6">
        <f>AVERAGEIFS(t_input[priorité],t_input[code],t_input[[#This Row],[code]])</f>
        <v>1</v>
      </c>
      <c r="I36" s="6">
        <f>IFERROR(INDEX(t_tools_feelings[coeff],MATCH(t_input[[#This Row],[feeling]],t_tools_feelings[feelings],0))/(t_input[[#This Row],[priorité]]*t_input[[#This Row],[priorité]]),0)</f>
        <v>0.1</v>
      </c>
      <c r="J36" s="6">
        <f>SUMIFS(t_input[weight],t_input[code],t_input[[#This Row],[code]])</f>
        <v>4.0999999999999996</v>
      </c>
      <c r="K36" s="6">
        <f>SUM(t_input[sum_skill])</f>
        <v>127.10051888888896</v>
      </c>
      <c r="L36" s="7">
        <f>t_input[[#This Row],[sum_skill]]/t_input[[#This Row],[sum_module]]</f>
        <v>3.2257932822321617E-2</v>
      </c>
      <c r="M36" s="7">
        <f>SUMIFS(t_input[%obs],t_input[code],t_input[[#This Row],[code]])</f>
        <v>0.16128966411160808</v>
      </c>
      <c r="N36" s="6" t="str">
        <f>IF(t_input[[#This Row],[%skill]]&gt;LARGE(t_tools_priorities[threshold],1),"Fondamentales",IF(t_input[[#This Row],[%skill]]&gt;LARGE(t_tools_priorities[threshold],2),"Secondaires","Accessoires"))</f>
        <v>Fondamentales</v>
      </c>
    </row>
    <row r="37" spans="2:14" ht="45" x14ac:dyDescent="0.25">
      <c r="B37" s="1" t="s">
        <v>254</v>
      </c>
      <c r="C37" s="1" t="s">
        <v>58</v>
      </c>
      <c r="D37" s="1" t="s">
        <v>59</v>
      </c>
      <c r="E37" s="1" t="s">
        <v>60</v>
      </c>
      <c r="F37" s="22" t="s">
        <v>2</v>
      </c>
      <c r="G37" s="22">
        <v>1</v>
      </c>
      <c r="H37" s="6">
        <f>AVERAGEIFS(t_input[priorité],t_input[code],t_input[[#This Row],[code]])</f>
        <v>1</v>
      </c>
      <c r="I37" s="6">
        <f>IFERROR(INDEX(t_tools_feelings[coeff],MATCH(t_input[[#This Row],[feeling]],t_tools_feelings[feelings],0))/(t_input[[#This Row],[priorité]]*t_input[[#This Row],[priorité]]),0)</f>
        <v>1</v>
      </c>
      <c r="J37" s="6">
        <f>SUMIFS(t_input[weight],t_input[code],t_input[[#This Row],[code]])</f>
        <v>4.0999999999999996</v>
      </c>
      <c r="K37" s="6">
        <f>SUM(t_input[sum_skill])</f>
        <v>127.10051888888896</v>
      </c>
      <c r="L37" s="7">
        <f>t_input[[#This Row],[sum_skill]]/t_input[[#This Row],[sum_module]]</f>
        <v>3.2257932822321617E-2</v>
      </c>
      <c r="M37" s="7">
        <f>SUMIFS(t_input[%obs],t_input[code],t_input[[#This Row],[code]])</f>
        <v>0.16128966411160808</v>
      </c>
      <c r="N37" s="6" t="str">
        <f>IF(t_input[[#This Row],[%skill]]&gt;LARGE(t_tools_priorities[threshold],1),"Fondamentales",IF(t_input[[#This Row],[%skill]]&gt;LARGE(t_tools_priorities[threshold],2),"Secondaires","Accessoires"))</f>
        <v>Fondamentales</v>
      </c>
    </row>
    <row r="38" spans="2:14" ht="45" x14ac:dyDescent="0.25">
      <c r="B38" s="1" t="s">
        <v>254</v>
      </c>
      <c r="C38" s="1" t="s">
        <v>58</v>
      </c>
      <c r="D38" s="1" t="s">
        <v>59</v>
      </c>
      <c r="E38" s="1" t="s">
        <v>350</v>
      </c>
      <c r="F38" s="22" t="s">
        <v>2</v>
      </c>
      <c r="G38" s="22">
        <v>1</v>
      </c>
      <c r="H38" s="6">
        <f>AVERAGEIFS(t_input[priorité],t_input[code],t_input[[#This Row],[code]])</f>
        <v>1</v>
      </c>
      <c r="I38" s="6">
        <f>IFERROR(INDEX(t_tools_feelings[coeff],MATCH(t_input[[#This Row],[feeling]],t_tools_feelings[feelings],0))/(t_input[[#This Row],[priorité]]*t_input[[#This Row],[priorité]]),0)</f>
        <v>1</v>
      </c>
      <c r="J38" s="6">
        <f>SUMIFS(t_input[weight],t_input[code],t_input[[#This Row],[code]])</f>
        <v>4.0999999999999996</v>
      </c>
      <c r="K38" s="6">
        <f>SUM(t_input[sum_skill])</f>
        <v>127.10051888888896</v>
      </c>
      <c r="L38" s="7">
        <f>t_input[[#This Row],[sum_skill]]/t_input[[#This Row],[sum_module]]</f>
        <v>3.2257932822321617E-2</v>
      </c>
      <c r="M38" s="7">
        <f>SUMIFS(t_input[%obs],t_input[code],t_input[[#This Row],[code]])</f>
        <v>0.16128966411160808</v>
      </c>
      <c r="N38" s="6" t="str">
        <f>IF(t_input[[#This Row],[%skill]]&gt;LARGE(t_tools_priorities[threshold],1),"Fondamentales",IF(t_input[[#This Row],[%skill]]&gt;LARGE(t_tools_priorities[threshold],2),"Secondaires","Accessoires"))</f>
        <v>Fondamentales</v>
      </c>
    </row>
    <row r="39" spans="2:14" ht="45" x14ac:dyDescent="0.25">
      <c r="B39" s="1" t="s">
        <v>254</v>
      </c>
      <c r="C39" s="1" t="s">
        <v>58</v>
      </c>
      <c r="D39" s="1" t="s">
        <v>59</v>
      </c>
      <c r="E39" s="1" t="s">
        <v>352</v>
      </c>
      <c r="F39" s="22" t="s">
        <v>2</v>
      </c>
      <c r="G39" s="22">
        <v>1</v>
      </c>
      <c r="H39" s="6">
        <f>AVERAGEIFS(t_input[priorité],t_input[code],t_input[[#This Row],[code]])</f>
        <v>1</v>
      </c>
      <c r="I39" s="6">
        <f>IFERROR(INDEX(t_tools_feelings[coeff],MATCH(t_input[[#This Row],[feeling]],t_tools_feelings[feelings],0))/(t_input[[#This Row],[priorité]]*t_input[[#This Row],[priorité]]),0)</f>
        <v>1</v>
      </c>
      <c r="J39" s="6">
        <f>SUMIFS(t_input[weight],t_input[code],t_input[[#This Row],[code]])</f>
        <v>4.0999999999999996</v>
      </c>
      <c r="K39" s="6">
        <f>SUM(t_input[sum_skill])</f>
        <v>127.10051888888896</v>
      </c>
      <c r="L39" s="7">
        <f>t_input[[#This Row],[sum_skill]]/t_input[[#This Row],[sum_module]]</f>
        <v>3.2257932822321617E-2</v>
      </c>
      <c r="M39" s="7">
        <f>SUMIFS(t_input[%obs],t_input[code],t_input[[#This Row],[code]])</f>
        <v>0.16128966411160808</v>
      </c>
      <c r="N39" s="6" t="str">
        <f>IF(t_input[[#This Row],[%skill]]&gt;LARGE(t_tools_priorities[threshold],1),"Fondamentales",IF(t_input[[#This Row],[%skill]]&gt;LARGE(t_tools_priorities[threshold],2),"Secondaires","Accessoires"))</f>
        <v>Fondamentales</v>
      </c>
    </row>
    <row r="40" spans="2:14" ht="45" x14ac:dyDescent="0.25">
      <c r="B40" s="1" t="s">
        <v>254</v>
      </c>
      <c r="C40" s="1" t="s">
        <v>58</v>
      </c>
      <c r="D40" s="1" t="s">
        <v>59</v>
      </c>
      <c r="E40" s="1" t="s">
        <v>61</v>
      </c>
      <c r="F40" s="22" t="s">
        <v>2</v>
      </c>
      <c r="G40" s="22">
        <v>1</v>
      </c>
      <c r="H40" s="6">
        <f>AVERAGEIFS(t_input[priorité],t_input[code],t_input[[#This Row],[code]])</f>
        <v>1</v>
      </c>
      <c r="I40" s="6">
        <f>IFERROR(INDEX(t_tools_feelings[coeff],MATCH(t_input[[#This Row],[feeling]],t_tools_feelings[feelings],0))/(t_input[[#This Row],[priorité]]*t_input[[#This Row],[priorité]]),0)</f>
        <v>1</v>
      </c>
      <c r="J40" s="6">
        <f>SUMIFS(t_input[weight],t_input[code],t_input[[#This Row],[code]])</f>
        <v>4.0999999999999996</v>
      </c>
      <c r="K40" s="6">
        <f>SUM(t_input[sum_skill])</f>
        <v>127.10051888888896</v>
      </c>
      <c r="L40" s="7">
        <f>t_input[[#This Row],[sum_skill]]/t_input[[#This Row],[sum_module]]</f>
        <v>3.2257932822321617E-2</v>
      </c>
      <c r="M40" s="7">
        <f>SUMIFS(t_input[%obs],t_input[code],t_input[[#This Row],[code]])</f>
        <v>0.16128966411160808</v>
      </c>
      <c r="N40" s="6" t="str">
        <f>IF(t_input[[#This Row],[%skill]]&gt;LARGE(t_tools_priorities[threshold],1),"Fondamentales",IF(t_input[[#This Row],[%skill]]&gt;LARGE(t_tools_priorities[threshold],2),"Secondaires","Accessoires"))</f>
        <v>Fondamentales</v>
      </c>
    </row>
    <row r="41" spans="2:14" ht="45" x14ac:dyDescent="0.25">
      <c r="B41" s="1" t="s">
        <v>278</v>
      </c>
      <c r="C41" s="1" t="s">
        <v>30</v>
      </c>
      <c r="D41" s="1" t="s">
        <v>31</v>
      </c>
      <c r="E41" s="1" t="s">
        <v>33</v>
      </c>
      <c r="F41" s="22" t="s">
        <v>2</v>
      </c>
      <c r="G41" s="22">
        <v>2</v>
      </c>
      <c r="H41" s="6">
        <f>AVERAGEIFS(t_input[priorité],t_input[code],t_input[[#This Row],[code]])</f>
        <v>3.1428571428571428</v>
      </c>
      <c r="I41" s="6">
        <f>IFERROR(INDEX(t_tools_feelings[coeff],MATCH(t_input[[#This Row],[feeling]],t_tools_feelings[feelings],0))/(t_input[[#This Row],[priorité]]*t_input[[#This Row],[priorité]]),0)</f>
        <v>0.25</v>
      </c>
      <c r="J41" s="6">
        <f>SUMIFS(t_input[weight],t_input[code],t_input[[#This Row],[code]])</f>
        <v>1.0261111111111112</v>
      </c>
      <c r="K41" s="6">
        <f>SUM(t_input[sum_skill])</f>
        <v>127.10051888888896</v>
      </c>
      <c r="L41" s="7">
        <f>t_input[[#This Row],[sum_skill]]/t_input[[#This Row],[sum_module]]</f>
        <v>8.0732251927951269E-3</v>
      </c>
      <c r="M41" s="7">
        <f>SUMIFS(t_input[%obs],t_input[code],t_input[[#This Row],[code]])</f>
        <v>5.6512576349565899E-2</v>
      </c>
      <c r="N41" s="6" t="str">
        <f>IF(t_input[[#This Row],[%skill]]&gt;LARGE(t_tools_priorities[threshold],1),"Fondamentales",IF(t_input[[#This Row],[%skill]]&gt;LARGE(t_tools_priorities[threshold],2),"Secondaires","Accessoires"))</f>
        <v>Secondaires</v>
      </c>
    </row>
    <row r="42" spans="2:14" ht="45" x14ac:dyDescent="0.25">
      <c r="B42" s="1" t="s">
        <v>278</v>
      </c>
      <c r="C42" s="1" t="s">
        <v>30</v>
      </c>
      <c r="D42" s="1" t="s">
        <v>31</v>
      </c>
      <c r="E42" s="1" t="s">
        <v>34</v>
      </c>
      <c r="F42" s="22" t="s">
        <v>2</v>
      </c>
      <c r="G42" s="22">
        <v>2</v>
      </c>
      <c r="H42" s="6">
        <f>AVERAGEIFS(t_input[priorité],t_input[code],t_input[[#This Row],[code]])</f>
        <v>3.1428571428571428</v>
      </c>
      <c r="I42" s="6">
        <f>IFERROR(INDEX(t_tools_feelings[coeff],MATCH(t_input[[#This Row],[feeling]],t_tools_feelings[feelings],0))/(t_input[[#This Row],[priorité]]*t_input[[#This Row],[priorité]]),0)</f>
        <v>0.25</v>
      </c>
      <c r="J42" s="6">
        <f>SUMIFS(t_input[weight],t_input[code],t_input[[#This Row],[code]])</f>
        <v>1.0261111111111112</v>
      </c>
      <c r="K42" s="6">
        <f>SUM(t_input[sum_skill])</f>
        <v>127.10051888888896</v>
      </c>
      <c r="L42" s="7">
        <f>t_input[[#This Row],[sum_skill]]/t_input[[#This Row],[sum_module]]</f>
        <v>8.0732251927951269E-3</v>
      </c>
      <c r="M42" s="7">
        <f>SUMIFS(t_input[%obs],t_input[code],t_input[[#This Row],[code]])</f>
        <v>5.6512576349565899E-2</v>
      </c>
      <c r="N42" s="6" t="str">
        <f>IF(t_input[[#This Row],[%skill]]&gt;LARGE(t_tools_priorities[threshold],1),"Fondamentales",IF(t_input[[#This Row],[%skill]]&gt;LARGE(t_tools_priorities[threshold],2),"Secondaires","Accessoires"))</f>
        <v>Secondaires</v>
      </c>
    </row>
    <row r="43" spans="2:14" ht="45" x14ac:dyDescent="0.25">
      <c r="B43" s="1" t="s">
        <v>278</v>
      </c>
      <c r="C43" s="1" t="s">
        <v>30</v>
      </c>
      <c r="D43" s="1" t="s">
        <v>31</v>
      </c>
      <c r="E43" s="1" t="s">
        <v>35</v>
      </c>
      <c r="F43" s="22" t="s">
        <v>2</v>
      </c>
      <c r="G43" s="22">
        <v>2</v>
      </c>
      <c r="H43" s="6">
        <f>AVERAGEIFS(t_input[priorité],t_input[code],t_input[[#This Row],[code]])</f>
        <v>3.1428571428571428</v>
      </c>
      <c r="I43" s="6">
        <f>IFERROR(INDEX(t_tools_feelings[coeff],MATCH(t_input[[#This Row],[feeling]],t_tools_feelings[feelings],0))/(t_input[[#This Row],[priorité]]*t_input[[#This Row],[priorité]]),0)</f>
        <v>0.25</v>
      </c>
      <c r="J43" s="6">
        <f>SUMIFS(t_input[weight],t_input[code],t_input[[#This Row],[code]])</f>
        <v>1.0261111111111112</v>
      </c>
      <c r="K43" s="6">
        <f>SUM(t_input[sum_skill])</f>
        <v>127.10051888888896</v>
      </c>
      <c r="L43" s="7">
        <f>t_input[[#This Row],[sum_skill]]/t_input[[#This Row],[sum_module]]</f>
        <v>8.0732251927951269E-3</v>
      </c>
      <c r="M43" s="7">
        <f>SUMIFS(t_input[%obs],t_input[code],t_input[[#This Row],[code]])</f>
        <v>5.6512576349565899E-2</v>
      </c>
      <c r="N43" s="6" t="str">
        <f>IF(t_input[[#This Row],[%skill]]&gt;LARGE(t_tools_priorities[threshold],1),"Fondamentales",IF(t_input[[#This Row],[%skill]]&gt;LARGE(t_tools_priorities[threshold],2),"Secondaires","Accessoires"))</f>
        <v>Secondaires</v>
      </c>
    </row>
    <row r="44" spans="2:14" ht="45" x14ac:dyDescent="0.25">
      <c r="B44" s="1" t="s">
        <v>278</v>
      </c>
      <c r="C44" s="1" t="s">
        <v>30</v>
      </c>
      <c r="D44" s="1" t="s">
        <v>31</v>
      </c>
      <c r="E44" s="1" t="s">
        <v>36</v>
      </c>
      <c r="F44" s="22" t="s">
        <v>2</v>
      </c>
      <c r="G44" s="22">
        <v>3</v>
      </c>
      <c r="H44" s="6">
        <f>AVERAGEIFS(t_input[priorité],t_input[code],t_input[[#This Row],[code]])</f>
        <v>3.1428571428571428</v>
      </c>
      <c r="I44" s="6">
        <f>IFERROR(INDEX(t_tools_feelings[coeff],MATCH(t_input[[#This Row],[feeling]],t_tools_feelings[feelings],0))/(t_input[[#This Row],[priorité]]*t_input[[#This Row],[priorité]]),0)</f>
        <v>0.1111111111111111</v>
      </c>
      <c r="J44" s="6">
        <f>SUMIFS(t_input[weight],t_input[code],t_input[[#This Row],[code]])</f>
        <v>1.0261111111111112</v>
      </c>
      <c r="K44" s="6">
        <f>SUM(t_input[sum_skill])</f>
        <v>127.10051888888896</v>
      </c>
      <c r="L44" s="7">
        <f>t_input[[#This Row],[sum_skill]]/t_input[[#This Row],[sum_module]]</f>
        <v>8.0732251927951269E-3</v>
      </c>
      <c r="M44" s="7">
        <f>SUMIFS(t_input[%obs],t_input[code],t_input[[#This Row],[code]])</f>
        <v>5.6512576349565899E-2</v>
      </c>
      <c r="N44" s="6" t="str">
        <f>IF(t_input[[#This Row],[%skill]]&gt;LARGE(t_tools_priorities[threshold],1),"Fondamentales",IF(t_input[[#This Row],[%skill]]&gt;LARGE(t_tools_priorities[threshold],2),"Secondaires","Accessoires"))</f>
        <v>Secondaires</v>
      </c>
    </row>
    <row r="45" spans="2:14" ht="45" x14ac:dyDescent="0.25">
      <c r="B45" s="1" t="s">
        <v>278</v>
      </c>
      <c r="C45" s="1" t="s">
        <v>30</v>
      </c>
      <c r="D45" s="1" t="s">
        <v>31</v>
      </c>
      <c r="E45" s="1" t="s">
        <v>32</v>
      </c>
      <c r="F45" s="22" t="s">
        <v>2</v>
      </c>
      <c r="G45" s="22">
        <v>4</v>
      </c>
      <c r="H45" s="6">
        <f>AVERAGEIFS(t_input[priorité],t_input[code],t_input[[#This Row],[code]])</f>
        <v>3.1428571428571428</v>
      </c>
      <c r="I45" s="6">
        <f>IFERROR(INDEX(t_tools_feelings[coeff],MATCH(t_input[[#This Row],[feeling]],t_tools_feelings[feelings],0))/(t_input[[#This Row],[priorité]]*t_input[[#This Row],[priorité]]),0)</f>
        <v>6.25E-2</v>
      </c>
      <c r="J45" s="6">
        <f>SUMIFS(t_input[weight],t_input[code],t_input[[#This Row],[code]])</f>
        <v>1.0261111111111112</v>
      </c>
      <c r="K45" s="6">
        <f>SUM(t_input[sum_skill])</f>
        <v>127.10051888888896</v>
      </c>
      <c r="L45" s="7">
        <f>t_input[[#This Row],[sum_skill]]/t_input[[#This Row],[sum_module]]</f>
        <v>8.0732251927951269E-3</v>
      </c>
      <c r="M45" s="7">
        <f>SUMIFS(t_input[%obs],t_input[code],t_input[[#This Row],[code]])</f>
        <v>5.6512576349565899E-2</v>
      </c>
      <c r="N45" s="6" t="str">
        <f>IF(t_input[[#This Row],[%skill]]&gt;LARGE(t_tools_priorities[threshold],1),"Fondamentales",IF(t_input[[#This Row],[%skill]]&gt;LARGE(t_tools_priorities[threshold],2),"Secondaires","Accessoires"))</f>
        <v>Secondaires</v>
      </c>
    </row>
    <row r="46" spans="2:14" ht="45" x14ac:dyDescent="0.25">
      <c r="B46" s="1" t="s">
        <v>278</v>
      </c>
      <c r="C46" s="1" t="s">
        <v>30</v>
      </c>
      <c r="D46" s="1" t="s">
        <v>31</v>
      </c>
      <c r="E46" s="1" t="s">
        <v>37</v>
      </c>
      <c r="F46" s="22" t="s">
        <v>2</v>
      </c>
      <c r="G46" s="22">
        <v>4</v>
      </c>
      <c r="H46" s="6">
        <f>AVERAGEIFS(t_input[priorité],t_input[code],t_input[[#This Row],[code]])</f>
        <v>3.1428571428571428</v>
      </c>
      <c r="I46" s="6">
        <f>IFERROR(INDEX(t_tools_feelings[coeff],MATCH(t_input[[#This Row],[feeling]],t_tools_feelings[feelings],0))/(t_input[[#This Row],[priorité]]*t_input[[#This Row],[priorité]]),0)</f>
        <v>6.25E-2</v>
      </c>
      <c r="J46" s="6">
        <f>SUMIFS(t_input[weight],t_input[code],t_input[[#This Row],[code]])</f>
        <v>1.0261111111111112</v>
      </c>
      <c r="K46" s="6">
        <f>SUM(t_input[sum_skill])</f>
        <v>127.10051888888896</v>
      </c>
      <c r="L46" s="7">
        <f>t_input[[#This Row],[sum_skill]]/t_input[[#This Row],[sum_module]]</f>
        <v>8.0732251927951269E-3</v>
      </c>
      <c r="M46" s="7">
        <f>SUMIFS(t_input[%obs],t_input[code],t_input[[#This Row],[code]])</f>
        <v>5.6512576349565899E-2</v>
      </c>
      <c r="N46" s="6" t="str">
        <f>IF(t_input[[#This Row],[%skill]]&gt;LARGE(t_tools_priorities[threshold],1),"Fondamentales",IF(t_input[[#This Row],[%skill]]&gt;LARGE(t_tools_priorities[threshold],2),"Secondaires","Accessoires"))</f>
        <v>Secondaires</v>
      </c>
    </row>
    <row r="47" spans="2:14" ht="45" x14ac:dyDescent="0.25">
      <c r="B47" s="1" t="s">
        <v>278</v>
      </c>
      <c r="C47" s="1" t="s">
        <v>30</v>
      </c>
      <c r="D47" s="1" t="s">
        <v>31</v>
      </c>
      <c r="E47" s="1" t="s">
        <v>75</v>
      </c>
      <c r="F47" s="22" t="s">
        <v>2</v>
      </c>
      <c r="G47" s="22">
        <v>5</v>
      </c>
      <c r="H47" s="6">
        <f>AVERAGEIFS(t_input[priorité],t_input[code],t_input[[#This Row],[code]])</f>
        <v>3.1428571428571428</v>
      </c>
      <c r="I47" s="6">
        <f>IFERROR(INDEX(t_tools_feelings[coeff],MATCH(t_input[[#This Row],[feeling]],t_tools_feelings[feelings],0))/(t_input[[#This Row],[priorité]]*t_input[[#This Row],[priorité]]),0)</f>
        <v>0.04</v>
      </c>
      <c r="J47" s="6">
        <f>SUMIFS(t_input[weight],t_input[code],t_input[[#This Row],[code]])</f>
        <v>1.0261111111111112</v>
      </c>
      <c r="K47" s="6">
        <f>SUM(t_input[sum_skill])</f>
        <v>127.10051888888896</v>
      </c>
      <c r="L47" s="7">
        <f>t_input[[#This Row],[sum_skill]]/t_input[[#This Row],[sum_module]]</f>
        <v>8.0732251927951269E-3</v>
      </c>
      <c r="M47" s="7">
        <f>SUMIFS(t_input[%obs],t_input[code],t_input[[#This Row],[code]])</f>
        <v>5.6512576349565899E-2</v>
      </c>
      <c r="N47" s="6" t="str">
        <f>IF(t_input[[#This Row],[%skill]]&gt;LARGE(t_tools_priorities[threshold],1),"Fondamentales",IF(t_input[[#This Row],[%skill]]&gt;LARGE(t_tools_priorities[threshold],2),"Secondaires","Accessoires"))</f>
        <v>Secondaires</v>
      </c>
    </row>
    <row r="48" spans="2:14" ht="30" x14ac:dyDescent="0.25">
      <c r="B48" s="1" t="s">
        <v>313</v>
      </c>
      <c r="C48" s="1" t="s">
        <v>13</v>
      </c>
      <c r="D48" s="1" t="s">
        <v>14</v>
      </c>
      <c r="E48" s="1" t="s">
        <v>55</v>
      </c>
      <c r="F48" s="22" t="s">
        <v>2</v>
      </c>
      <c r="G48" s="22">
        <v>2</v>
      </c>
      <c r="H48" s="6">
        <f>AVERAGEIFS(t_input[priorité],t_input[code],t_input[[#This Row],[code]])</f>
        <v>6.5</v>
      </c>
      <c r="I48" s="6">
        <f>IFERROR(INDEX(t_tools_feelings[coeff],MATCH(t_input[[#This Row],[feeling]],t_tools_feelings[feelings],0))/(t_input[[#This Row],[priorité]]*t_input[[#This Row],[priorité]]),0)</f>
        <v>0.25</v>
      </c>
      <c r="J48" s="6">
        <f>SUMIFS(t_input[weight],t_input[code],t_input[[#This Row],[code]])</f>
        <v>0.84365277777777781</v>
      </c>
      <c r="K48" s="6">
        <f>SUM(t_input[sum_skill])</f>
        <v>127.10051888888896</v>
      </c>
      <c r="L48" s="7">
        <f>t_input[[#This Row],[sum_skill]]/t_input[[#This Row],[sum_module]]</f>
        <v>6.6376816172977037E-3</v>
      </c>
      <c r="M48" s="7">
        <f>SUMIFS(t_input[%obs],t_input[code],t_input[[#This Row],[code]])</f>
        <v>5.3101452938381637E-2</v>
      </c>
      <c r="N48" s="6" t="str">
        <f>IF(t_input[[#This Row],[%skill]]&gt;LARGE(t_tools_priorities[threshold],1),"Fondamentales",IF(t_input[[#This Row],[%skill]]&gt;LARGE(t_tools_priorities[threshold],2),"Secondaires","Accessoires"))</f>
        <v>Secondaires</v>
      </c>
    </row>
    <row r="49" spans="2:14" ht="30" x14ac:dyDescent="0.25">
      <c r="B49" s="1" t="s">
        <v>313</v>
      </c>
      <c r="C49" s="1" t="s">
        <v>13</v>
      </c>
      <c r="D49" s="1" t="s">
        <v>14</v>
      </c>
      <c r="E49" s="1" t="s">
        <v>15</v>
      </c>
      <c r="F49" s="22" t="s">
        <v>2</v>
      </c>
      <c r="G49" s="22">
        <v>2</v>
      </c>
      <c r="H49" s="6">
        <f>AVERAGEIFS(t_input[priorité],t_input[code],t_input[[#This Row],[code]])</f>
        <v>6.5</v>
      </c>
      <c r="I49" s="6">
        <f>IFERROR(INDEX(t_tools_feelings[coeff],MATCH(t_input[[#This Row],[feeling]],t_tools_feelings[feelings],0))/(t_input[[#This Row],[priorité]]*t_input[[#This Row],[priorité]]),0)</f>
        <v>0.25</v>
      </c>
      <c r="J49" s="6">
        <f>SUMIFS(t_input[weight],t_input[code],t_input[[#This Row],[code]])</f>
        <v>0.84365277777777781</v>
      </c>
      <c r="K49" s="6">
        <f>SUM(t_input[sum_skill])</f>
        <v>127.10051888888896</v>
      </c>
      <c r="L49" s="7">
        <f>t_input[[#This Row],[sum_skill]]/t_input[[#This Row],[sum_module]]</f>
        <v>6.6376816172977037E-3</v>
      </c>
      <c r="M49" s="7">
        <f>SUMIFS(t_input[%obs],t_input[code],t_input[[#This Row],[code]])</f>
        <v>5.3101452938381637E-2</v>
      </c>
      <c r="N49" s="6" t="str">
        <f>IF(t_input[[#This Row],[%skill]]&gt;LARGE(t_tools_priorities[threshold],1),"Fondamentales",IF(t_input[[#This Row],[%skill]]&gt;LARGE(t_tools_priorities[threshold],2),"Secondaires","Accessoires"))</f>
        <v>Secondaires</v>
      </c>
    </row>
    <row r="50" spans="2:14" ht="30" x14ac:dyDescent="0.25">
      <c r="B50" s="1" t="s">
        <v>313</v>
      </c>
      <c r="C50" s="1" t="s">
        <v>13</v>
      </c>
      <c r="D50" s="1" t="s">
        <v>14</v>
      </c>
      <c r="E50" s="1" t="s">
        <v>56</v>
      </c>
      <c r="F50" s="22" t="s">
        <v>2</v>
      </c>
      <c r="G50" s="22">
        <v>2</v>
      </c>
      <c r="H50" s="6">
        <f>AVERAGEIFS(t_input[priorité],t_input[code],t_input[[#This Row],[code]])</f>
        <v>6.5</v>
      </c>
      <c r="I50" s="6">
        <f>IFERROR(INDEX(t_tools_feelings[coeff],MATCH(t_input[[#This Row],[feeling]],t_tools_feelings[feelings],0))/(t_input[[#This Row],[priorité]]*t_input[[#This Row],[priorité]]),0)</f>
        <v>0.25</v>
      </c>
      <c r="J50" s="6">
        <f>SUMIFS(t_input[weight],t_input[code],t_input[[#This Row],[code]])</f>
        <v>0.84365277777777781</v>
      </c>
      <c r="K50" s="6">
        <f>SUM(t_input[sum_skill])</f>
        <v>127.10051888888896</v>
      </c>
      <c r="L50" s="7">
        <f>t_input[[#This Row],[sum_skill]]/t_input[[#This Row],[sum_module]]</f>
        <v>6.6376816172977037E-3</v>
      </c>
      <c r="M50" s="7">
        <f>SUMIFS(t_input[%obs],t_input[code],t_input[[#This Row],[code]])</f>
        <v>5.3101452938381637E-2</v>
      </c>
      <c r="N50" s="6" t="str">
        <f>IF(t_input[[#This Row],[%skill]]&gt;LARGE(t_tools_priorities[threshold],1),"Fondamentales",IF(t_input[[#This Row],[%skill]]&gt;LARGE(t_tools_priorities[threshold],2),"Secondaires","Accessoires"))</f>
        <v>Secondaires</v>
      </c>
    </row>
    <row r="51" spans="2:14" ht="30" x14ac:dyDescent="0.25">
      <c r="B51" s="1" t="s">
        <v>313</v>
      </c>
      <c r="C51" s="1" t="s">
        <v>13</v>
      </c>
      <c r="D51" s="1" t="s">
        <v>14</v>
      </c>
      <c r="E51" s="1" t="s">
        <v>372</v>
      </c>
      <c r="F51" s="22" t="s">
        <v>3</v>
      </c>
      <c r="G51" s="22">
        <v>8</v>
      </c>
      <c r="H51" s="6">
        <f>AVERAGEIFS(t_input[priorité],t_input[code],t_input[[#This Row],[code]])</f>
        <v>6.5</v>
      </c>
      <c r="I51" s="6">
        <f>IFERROR(INDEX(t_tools_feelings[coeff],MATCH(t_input[[#This Row],[feeling]],t_tools_feelings[feelings],0))/(t_input[[#This Row],[priorité]]*t_input[[#This Row],[priorité]]),0)</f>
        <v>1.5625000000000001E-3</v>
      </c>
      <c r="J51" s="6">
        <f>SUMIFS(t_input[weight],t_input[code],t_input[[#This Row],[code]])</f>
        <v>0.84365277777777781</v>
      </c>
      <c r="K51" s="6">
        <f>SUM(t_input[sum_skill])</f>
        <v>127.10051888888896</v>
      </c>
      <c r="L51" s="7">
        <f>t_input[[#This Row],[sum_skill]]/t_input[[#This Row],[sum_module]]</f>
        <v>6.6376816172977037E-3</v>
      </c>
      <c r="M51" s="7">
        <f>SUMIFS(t_input[%obs],t_input[code],t_input[[#This Row],[code]])</f>
        <v>5.3101452938381637E-2</v>
      </c>
      <c r="N51" s="6" t="str">
        <f>IF(t_input[[#This Row],[%skill]]&gt;LARGE(t_tools_priorities[threshold],1),"Fondamentales",IF(t_input[[#This Row],[%skill]]&gt;LARGE(t_tools_priorities[threshold],2),"Secondaires","Accessoires"))</f>
        <v>Secondaires</v>
      </c>
    </row>
    <row r="52" spans="2:14" ht="30" x14ac:dyDescent="0.25">
      <c r="B52" s="1" t="s">
        <v>313</v>
      </c>
      <c r="C52" s="1" t="s">
        <v>13</v>
      </c>
      <c r="D52" s="1" t="s">
        <v>14</v>
      </c>
      <c r="E52" s="1" t="s">
        <v>87</v>
      </c>
      <c r="F52" s="22" t="s">
        <v>3</v>
      </c>
      <c r="G52" s="22">
        <v>8</v>
      </c>
      <c r="H52" s="6">
        <f>AVERAGEIFS(t_input[priorité],t_input[code],t_input[[#This Row],[code]])</f>
        <v>6.5</v>
      </c>
      <c r="I52" s="6">
        <f>IFERROR(INDEX(t_tools_feelings[coeff],MATCH(t_input[[#This Row],[feeling]],t_tools_feelings[feelings],0))/(t_input[[#This Row],[priorité]]*t_input[[#This Row],[priorité]]),0)</f>
        <v>1.5625000000000001E-3</v>
      </c>
      <c r="J52" s="6">
        <f>SUMIFS(t_input[weight],t_input[code],t_input[[#This Row],[code]])</f>
        <v>0.84365277777777781</v>
      </c>
      <c r="K52" s="6">
        <f>SUM(t_input[sum_skill])</f>
        <v>127.10051888888896</v>
      </c>
      <c r="L52" s="7">
        <f>t_input[[#This Row],[sum_skill]]/t_input[[#This Row],[sum_module]]</f>
        <v>6.6376816172977037E-3</v>
      </c>
      <c r="M52" s="7">
        <f>SUMIFS(t_input[%obs],t_input[code],t_input[[#This Row],[code]])</f>
        <v>5.3101452938381637E-2</v>
      </c>
      <c r="N52" s="6" t="str">
        <f>IF(t_input[[#This Row],[%skill]]&gt;LARGE(t_tools_priorities[threshold],1),"Fondamentales",IF(t_input[[#This Row],[%skill]]&gt;LARGE(t_tools_priorities[threshold],2),"Secondaires","Accessoires"))</f>
        <v>Secondaires</v>
      </c>
    </row>
    <row r="53" spans="2:14" ht="30" x14ac:dyDescent="0.25">
      <c r="B53" s="1" t="s">
        <v>313</v>
      </c>
      <c r="C53" s="1" t="s">
        <v>13</v>
      </c>
      <c r="D53" s="1" t="s">
        <v>14</v>
      </c>
      <c r="E53" s="1" t="s">
        <v>373</v>
      </c>
      <c r="F53" s="22" t="s">
        <v>2</v>
      </c>
      <c r="G53" s="22">
        <v>4</v>
      </c>
      <c r="H53" s="6">
        <f>AVERAGEIFS(t_input[priorité],t_input[code],t_input[[#This Row],[code]])</f>
        <v>6.5</v>
      </c>
      <c r="I53" s="6">
        <f>IFERROR(INDEX(t_tools_feelings[coeff],MATCH(t_input[[#This Row],[feeling]],t_tools_feelings[feelings],0))/(t_input[[#This Row],[priorité]]*t_input[[#This Row],[priorité]]),0)</f>
        <v>6.25E-2</v>
      </c>
      <c r="J53" s="6">
        <f>SUMIFS(t_input[weight],t_input[code],t_input[[#This Row],[code]])</f>
        <v>0.84365277777777781</v>
      </c>
      <c r="K53" s="6">
        <f>SUM(t_input[sum_skill])</f>
        <v>127.10051888888896</v>
      </c>
      <c r="L53" s="7">
        <f>t_input[[#This Row],[sum_skill]]/t_input[[#This Row],[sum_module]]</f>
        <v>6.6376816172977037E-3</v>
      </c>
      <c r="M53" s="7">
        <f>SUMIFS(t_input[%obs],t_input[code],t_input[[#This Row],[code]])</f>
        <v>5.3101452938381637E-2</v>
      </c>
      <c r="N53" s="6" t="str">
        <f>IF(t_input[[#This Row],[%skill]]&gt;LARGE(t_tools_priorities[threshold],1),"Fondamentales",IF(t_input[[#This Row],[%skill]]&gt;LARGE(t_tools_priorities[threshold],2),"Secondaires","Accessoires"))</f>
        <v>Secondaires</v>
      </c>
    </row>
    <row r="54" spans="2:14" ht="30" x14ac:dyDescent="0.25">
      <c r="B54" s="1" t="s">
        <v>313</v>
      </c>
      <c r="C54" s="1" t="s">
        <v>13</v>
      </c>
      <c r="D54" s="1" t="s">
        <v>14</v>
      </c>
      <c r="E54" s="1" t="s">
        <v>57</v>
      </c>
      <c r="F54" s="22" t="s">
        <v>3</v>
      </c>
      <c r="G54" s="22">
        <v>20</v>
      </c>
      <c r="H54" s="6">
        <f>AVERAGEIFS(t_input[priorité],t_input[code],t_input[[#This Row],[code]])</f>
        <v>6.5</v>
      </c>
      <c r="I54" s="6">
        <f>IFERROR(INDEX(t_tools_feelings[coeff],MATCH(t_input[[#This Row],[feeling]],t_tools_feelings[feelings],0))/(t_input[[#This Row],[priorité]]*t_input[[#This Row],[priorité]]),0)</f>
        <v>2.5000000000000001E-4</v>
      </c>
      <c r="J54" s="6">
        <f>SUMIFS(t_input[weight],t_input[code],t_input[[#This Row],[code]])</f>
        <v>0.84365277777777781</v>
      </c>
      <c r="K54" s="6">
        <f>SUM(t_input[sum_skill])</f>
        <v>127.10051888888896</v>
      </c>
      <c r="L54" s="7">
        <f>t_input[[#This Row],[sum_skill]]/t_input[[#This Row],[sum_module]]</f>
        <v>6.6376816172977037E-3</v>
      </c>
      <c r="M54" s="7">
        <f>SUMIFS(t_input[%obs],t_input[code],t_input[[#This Row],[code]])</f>
        <v>5.3101452938381637E-2</v>
      </c>
      <c r="N54" s="6" t="str">
        <f>IF(t_input[[#This Row],[%skill]]&gt;LARGE(t_tools_priorities[threshold],1),"Fondamentales",IF(t_input[[#This Row],[%skill]]&gt;LARGE(t_tools_priorities[threshold],2),"Secondaires","Accessoires"))</f>
        <v>Secondaires</v>
      </c>
    </row>
    <row r="55" spans="2:14" ht="30" x14ac:dyDescent="0.25">
      <c r="B55" s="1" t="s">
        <v>313</v>
      </c>
      <c r="C55" s="1" t="s">
        <v>13</v>
      </c>
      <c r="D55" s="1" t="s">
        <v>14</v>
      </c>
      <c r="E55" s="1" t="s">
        <v>381</v>
      </c>
      <c r="F55" s="22" t="s">
        <v>2</v>
      </c>
      <c r="G55" s="22">
        <v>6</v>
      </c>
      <c r="H55" s="6">
        <f>AVERAGEIFS(t_input[priorité],t_input[code],t_input[[#This Row],[code]])</f>
        <v>6.5</v>
      </c>
      <c r="I55" s="6">
        <f>IFERROR(INDEX(t_tools_feelings[coeff],MATCH(t_input[[#This Row],[feeling]],t_tools_feelings[feelings],0))/(t_input[[#This Row],[priorité]]*t_input[[#This Row],[priorité]]),0)</f>
        <v>2.7777777777777776E-2</v>
      </c>
      <c r="J55" s="6">
        <f>SUMIFS(t_input[weight],t_input[code],t_input[[#This Row],[code]])</f>
        <v>0.84365277777777781</v>
      </c>
      <c r="K55" s="6">
        <f>SUM(t_input[sum_skill])</f>
        <v>127.10051888888896</v>
      </c>
      <c r="L55" s="7">
        <f>t_input[[#This Row],[sum_skill]]/t_input[[#This Row],[sum_module]]</f>
        <v>6.6376816172977037E-3</v>
      </c>
      <c r="M55" s="7">
        <f>SUMIFS(t_input[%obs],t_input[code],t_input[[#This Row],[code]])</f>
        <v>5.3101452938381637E-2</v>
      </c>
      <c r="N55" s="6" t="str">
        <f>IF(t_input[[#This Row],[%skill]]&gt;LARGE(t_tools_priorities[threshold],1),"Fondamentales",IF(t_input[[#This Row],[%skill]]&gt;LARGE(t_tools_priorities[threshold],2),"Secondaires","Accessoires"))</f>
        <v>Secondaires</v>
      </c>
    </row>
    <row r="56" spans="2:14" ht="45" x14ac:dyDescent="0.25">
      <c r="B56" s="1" t="s">
        <v>304</v>
      </c>
      <c r="C56" s="1" t="s">
        <v>354</v>
      </c>
      <c r="D56" s="1" t="s">
        <v>355</v>
      </c>
      <c r="E56" s="1" t="s">
        <v>356</v>
      </c>
      <c r="F56" s="22" t="s">
        <v>2</v>
      </c>
      <c r="G56" s="22">
        <v>1</v>
      </c>
      <c r="H56" s="6">
        <f>AVERAGEIFS(t_input[priorité],t_input[code],t_input[[#This Row],[code]])</f>
        <v>3.3333333333333335</v>
      </c>
      <c r="I56" s="6">
        <f>IFERROR(INDEX(t_tools_feelings[coeff],MATCH(t_input[[#This Row],[feeling]],t_tools_feelings[feelings],0))/(t_input[[#This Row],[priorité]]*t_input[[#This Row],[priorité]]),0)</f>
        <v>1</v>
      </c>
      <c r="J56" s="6">
        <f>SUMIFS(t_input[weight],t_input[code],t_input[[#This Row],[code]])</f>
        <v>1.54</v>
      </c>
      <c r="K56" s="6">
        <f>SUM(t_input[sum_skill])</f>
        <v>127.10051888888896</v>
      </c>
      <c r="L56" s="7">
        <f>t_input[[#This Row],[sum_skill]]/t_input[[#This Row],[sum_module]]</f>
        <v>1.211639427960373E-2</v>
      </c>
      <c r="M56" s="7">
        <f>SUMIFS(t_input[%obs],t_input[code],t_input[[#This Row],[code]])</f>
        <v>7.2698365677622376E-2</v>
      </c>
      <c r="N56" s="6" t="str">
        <f>IF(t_input[[#This Row],[%skill]]&gt;LARGE(t_tools_priorities[threshold],1),"Fondamentales",IF(t_input[[#This Row],[%skill]]&gt;LARGE(t_tools_priorities[threshold],2),"Secondaires","Accessoires"))</f>
        <v>Secondaires</v>
      </c>
    </row>
    <row r="57" spans="2:14" ht="45" x14ac:dyDescent="0.25">
      <c r="B57" s="1" t="s">
        <v>304</v>
      </c>
      <c r="C57" s="1" t="s">
        <v>354</v>
      </c>
      <c r="D57" s="1" t="s">
        <v>355</v>
      </c>
      <c r="E57" s="1" t="s">
        <v>361</v>
      </c>
      <c r="F57" s="22" t="s">
        <v>2</v>
      </c>
      <c r="G57" s="22">
        <v>2</v>
      </c>
      <c r="H57" s="6">
        <f>AVERAGEIFS(t_input[priorité],t_input[code],t_input[[#This Row],[code]])</f>
        <v>3.3333333333333335</v>
      </c>
      <c r="I57" s="6">
        <f>IFERROR(INDEX(t_tools_feelings[coeff],MATCH(t_input[[#This Row],[feeling]],t_tools_feelings[feelings],0))/(t_input[[#This Row],[priorité]]*t_input[[#This Row],[priorité]]),0)</f>
        <v>0.25</v>
      </c>
      <c r="J57" s="6">
        <f>SUMIFS(t_input[weight],t_input[code],t_input[[#This Row],[code]])</f>
        <v>1.54</v>
      </c>
      <c r="K57" s="6">
        <f>SUM(t_input[sum_skill])</f>
        <v>127.10051888888896</v>
      </c>
      <c r="L57" s="7">
        <f>t_input[[#This Row],[sum_skill]]/t_input[[#This Row],[sum_module]]</f>
        <v>1.211639427960373E-2</v>
      </c>
      <c r="M57" s="7">
        <f>SUMIFS(t_input[%obs],t_input[code],t_input[[#This Row],[code]])</f>
        <v>7.2698365677622376E-2</v>
      </c>
      <c r="N57" s="6" t="str">
        <f>IF(t_input[[#This Row],[%skill]]&gt;LARGE(t_tools_priorities[threshold],1),"Fondamentales",IF(t_input[[#This Row],[%skill]]&gt;LARGE(t_tools_priorities[threshold],2),"Secondaires","Accessoires"))</f>
        <v>Secondaires</v>
      </c>
    </row>
    <row r="58" spans="2:14" ht="45" x14ac:dyDescent="0.25">
      <c r="B58" s="1" t="s">
        <v>304</v>
      </c>
      <c r="C58" s="1" t="s">
        <v>354</v>
      </c>
      <c r="D58" s="1" t="s">
        <v>355</v>
      </c>
      <c r="E58" s="1" t="s">
        <v>369</v>
      </c>
      <c r="F58" s="22" t="s">
        <v>2</v>
      </c>
      <c r="G58" s="22">
        <v>3</v>
      </c>
      <c r="H58" s="6">
        <f>AVERAGEIFS(t_input[priorité],t_input[code],t_input[[#This Row],[code]])</f>
        <v>3.3333333333333335</v>
      </c>
      <c r="I58" s="6">
        <f>IFERROR(INDEX(t_tools_feelings[coeff],MATCH(t_input[[#This Row],[feeling]],t_tools_feelings[feelings],0))/(t_input[[#This Row],[priorité]]*t_input[[#This Row],[priorité]]),0)</f>
        <v>0.1111111111111111</v>
      </c>
      <c r="J58" s="6">
        <f>SUMIFS(t_input[weight],t_input[code],t_input[[#This Row],[code]])</f>
        <v>1.54</v>
      </c>
      <c r="K58" s="6">
        <f>SUM(t_input[sum_skill])</f>
        <v>127.10051888888896</v>
      </c>
      <c r="L58" s="7">
        <f>t_input[[#This Row],[sum_skill]]/t_input[[#This Row],[sum_module]]</f>
        <v>1.211639427960373E-2</v>
      </c>
      <c r="M58" s="7">
        <f>SUMIFS(t_input[%obs],t_input[code],t_input[[#This Row],[code]])</f>
        <v>7.2698365677622376E-2</v>
      </c>
      <c r="N58" s="6" t="str">
        <f>IF(t_input[[#This Row],[%skill]]&gt;LARGE(t_tools_priorities[threshold],1),"Fondamentales",IF(t_input[[#This Row],[%skill]]&gt;LARGE(t_tools_priorities[threshold],2),"Secondaires","Accessoires"))</f>
        <v>Secondaires</v>
      </c>
    </row>
    <row r="59" spans="2:14" ht="45" x14ac:dyDescent="0.25">
      <c r="B59" s="1" t="s">
        <v>304</v>
      </c>
      <c r="C59" s="1" t="s">
        <v>354</v>
      </c>
      <c r="D59" s="1" t="s">
        <v>355</v>
      </c>
      <c r="E59" s="1" t="s">
        <v>370</v>
      </c>
      <c r="F59" s="22" t="s">
        <v>2</v>
      </c>
      <c r="G59" s="22">
        <v>3</v>
      </c>
      <c r="H59" s="6">
        <f>AVERAGEIFS(t_input[priorité],t_input[code],t_input[[#This Row],[code]])</f>
        <v>3.3333333333333335</v>
      </c>
      <c r="I59" s="6">
        <f>IFERROR(INDEX(t_tools_feelings[coeff],MATCH(t_input[[#This Row],[feeling]],t_tools_feelings[feelings],0))/(t_input[[#This Row],[priorité]]*t_input[[#This Row],[priorité]]),0)</f>
        <v>0.1111111111111111</v>
      </c>
      <c r="J59" s="6">
        <f>SUMIFS(t_input[weight],t_input[code],t_input[[#This Row],[code]])</f>
        <v>1.54</v>
      </c>
      <c r="K59" s="6">
        <f>SUM(t_input[sum_skill])</f>
        <v>127.10051888888896</v>
      </c>
      <c r="L59" s="7">
        <f>t_input[[#This Row],[sum_skill]]/t_input[[#This Row],[sum_module]]</f>
        <v>1.211639427960373E-2</v>
      </c>
      <c r="M59" s="7">
        <f>SUMIFS(t_input[%obs],t_input[code],t_input[[#This Row],[code]])</f>
        <v>7.2698365677622376E-2</v>
      </c>
      <c r="N59" s="6" t="str">
        <f>IF(t_input[[#This Row],[%skill]]&gt;LARGE(t_tools_priorities[threshold],1),"Fondamentales",IF(t_input[[#This Row],[%skill]]&gt;LARGE(t_tools_priorities[threshold],2),"Secondaires","Accessoires"))</f>
        <v>Secondaires</v>
      </c>
    </row>
    <row r="60" spans="2:14" ht="45" x14ac:dyDescent="0.25">
      <c r="B60" s="1" t="s">
        <v>304</v>
      </c>
      <c r="C60" s="1" t="s">
        <v>354</v>
      </c>
      <c r="D60" s="1" t="s">
        <v>355</v>
      </c>
      <c r="E60" s="1" t="s">
        <v>379</v>
      </c>
      <c r="F60" s="22" t="s">
        <v>2</v>
      </c>
      <c r="G60" s="22">
        <v>5</v>
      </c>
      <c r="H60" s="6">
        <f>AVERAGEIFS(t_input[priorité],t_input[code],t_input[[#This Row],[code]])</f>
        <v>3.3333333333333335</v>
      </c>
      <c r="I60" s="6">
        <f>IFERROR(INDEX(t_tools_feelings[coeff],MATCH(t_input[[#This Row],[feeling]],t_tools_feelings[feelings],0))/(t_input[[#This Row],[priorité]]*t_input[[#This Row],[priorité]]),0)</f>
        <v>0.04</v>
      </c>
      <c r="J60" s="6">
        <f>SUMIFS(t_input[weight],t_input[code],t_input[[#This Row],[code]])</f>
        <v>1.54</v>
      </c>
      <c r="K60" s="6">
        <f>SUM(t_input[sum_skill])</f>
        <v>127.10051888888896</v>
      </c>
      <c r="L60" s="7">
        <f>t_input[[#This Row],[sum_skill]]/t_input[[#This Row],[sum_module]]</f>
        <v>1.211639427960373E-2</v>
      </c>
      <c r="M60" s="7">
        <f>SUMIFS(t_input[%obs],t_input[code],t_input[[#This Row],[code]])</f>
        <v>7.2698365677622376E-2</v>
      </c>
      <c r="N60" s="6" t="str">
        <f>IF(t_input[[#This Row],[%skill]]&gt;LARGE(t_tools_priorities[threshold],1),"Fondamentales",IF(t_input[[#This Row],[%skill]]&gt;LARGE(t_tools_priorities[threshold],2),"Secondaires","Accessoires"))</f>
        <v>Secondaires</v>
      </c>
    </row>
    <row r="61" spans="2:14" ht="45" x14ac:dyDescent="0.25">
      <c r="B61" s="1" t="s">
        <v>304</v>
      </c>
      <c r="C61" s="1" t="s">
        <v>354</v>
      </c>
      <c r="D61" s="1" t="s">
        <v>355</v>
      </c>
      <c r="E61" s="1" t="s">
        <v>386</v>
      </c>
      <c r="F61" s="22" t="s">
        <v>2</v>
      </c>
      <c r="G61" s="22">
        <v>6</v>
      </c>
      <c r="H61" s="6">
        <f>AVERAGEIFS(t_input[priorité],t_input[code],t_input[[#This Row],[code]])</f>
        <v>3.3333333333333335</v>
      </c>
      <c r="I61" s="6">
        <f>IFERROR(INDEX(t_tools_feelings[coeff],MATCH(t_input[[#This Row],[feeling]],t_tools_feelings[feelings],0))/(t_input[[#This Row],[priorité]]*t_input[[#This Row],[priorité]]),0)</f>
        <v>2.7777777777777776E-2</v>
      </c>
      <c r="J61" s="6">
        <f>SUMIFS(t_input[weight],t_input[code],t_input[[#This Row],[code]])</f>
        <v>1.54</v>
      </c>
      <c r="K61" s="6">
        <f>SUM(t_input[sum_skill])</f>
        <v>127.10051888888896</v>
      </c>
      <c r="L61" s="7">
        <f>t_input[[#This Row],[sum_skill]]/t_input[[#This Row],[sum_module]]</f>
        <v>1.211639427960373E-2</v>
      </c>
      <c r="M61" s="7">
        <f>SUMIFS(t_input[%obs],t_input[code],t_input[[#This Row],[code]])</f>
        <v>7.2698365677622376E-2</v>
      </c>
      <c r="N61" s="6" t="str">
        <f>IF(t_input[[#This Row],[%skill]]&gt;LARGE(t_tools_priorities[threshold],1),"Fondamentales",IF(t_input[[#This Row],[%skill]]&gt;LARGE(t_tools_priorities[threshold],2),"Secondaires","Accessoires"))</f>
        <v>Secondaires</v>
      </c>
    </row>
    <row r="62" spans="2:14" ht="30" x14ac:dyDescent="0.25">
      <c r="B62" s="1" t="s">
        <v>250</v>
      </c>
      <c r="C62" s="1" t="s">
        <v>62</v>
      </c>
      <c r="D62" s="1" t="s">
        <v>63</v>
      </c>
      <c r="E62" s="1" t="s">
        <v>353</v>
      </c>
      <c r="F62" s="22" t="s">
        <v>2</v>
      </c>
      <c r="G62" s="22">
        <v>1</v>
      </c>
      <c r="H62" s="6">
        <f>AVERAGEIFS(t_input[priorité],t_input[code],t_input[[#This Row],[code]])</f>
        <v>3</v>
      </c>
      <c r="I62" s="6">
        <f>IFERROR(INDEX(t_tools_feelings[coeff],MATCH(t_input[[#This Row],[feeling]],t_tools_feelings[feelings],0))/(t_input[[#This Row],[priorité]]*t_input[[#This Row],[priorité]]),0)</f>
        <v>1</v>
      </c>
      <c r="J62" s="6">
        <f>SUMIFS(t_input[weight],t_input[code],t_input[[#This Row],[code]])</f>
        <v>1.3525</v>
      </c>
      <c r="K62" s="6">
        <f>SUM(t_input[sum_skill])</f>
        <v>127.10051888888896</v>
      </c>
      <c r="L62" s="7">
        <f>t_input[[#This Row],[sum_skill]]/t_input[[#This Row],[sum_module]]</f>
        <v>1.0641183937119511E-2</v>
      </c>
      <c r="M62" s="7">
        <f>SUMIFS(t_input[%obs],t_input[code],t_input[[#This Row],[code]])</f>
        <v>4.2564735748478043E-2</v>
      </c>
      <c r="N62" s="6" t="str">
        <f>IF(t_input[[#This Row],[%skill]]&gt;LARGE(t_tools_priorities[threshold],1),"Fondamentales",IF(t_input[[#This Row],[%skill]]&gt;LARGE(t_tools_priorities[threshold],2),"Secondaires","Accessoires"))</f>
        <v>Secondaires</v>
      </c>
    </row>
    <row r="63" spans="2:14" ht="30" x14ac:dyDescent="0.25">
      <c r="B63" s="1" t="s">
        <v>250</v>
      </c>
      <c r="C63" s="1" t="s">
        <v>62</v>
      </c>
      <c r="D63" s="1" t="s">
        <v>63</v>
      </c>
      <c r="E63" s="1" t="s">
        <v>94</v>
      </c>
      <c r="F63" s="22" t="s">
        <v>2</v>
      </c>
      <c r="G63" s="22">
        <v>2</v>
      </c>
      <c r="H63" s="6">
        <f>AVERAGEIFS(t_input[priorité],t_input[code],t_input[[#This Row],[code]])</f>
        <v>3</v>
      </c>
      <c r="I63" s="6">
        <f>IFERROR(INDEX(t_tools_feelings[coeff],MATCH(t_input[[#This Row],[feeling]],t_tools_feelings[feelings],0))/(t_input[[#This Row],[priorité]]*t_input[[#This Row],[priorité]]),0)</f>
        <v>0.25</v>
      </c>
      <c r="J63" s="6">
        <f>SUMIFS(t_input[weight],t_input[code],t_input[[#This Row],[code]])</f>
        <v>1.3525</v>
      </c>
      <c r="K63" s="6">
        <f>SUM(t_input[sum_skill])</f>
        <v>127.10051888888896</v>
      </c>
      <c r="L63" s="7">
        <f>t_input[[#This Row],[sum_skill]]/t_input[[#This Row],[sum_module]]</f>
        <v>1.0641183937119511E-2</v>
      </c>
      <c r="M63" s="7">
        <f>SUMIFS(t_input[%obs],t_input[code],t_input[[#This Row],[code]])</f>
        <v>4.2564735748478043E-2</v>
      </c>
      <c r="N63" s="6" t="str">
        <f>IF(t_input[[#This Row],[%skill]]&gt;LARGE(t_tools_priorities[threshold],1),"Fondamentales",IF(t_input[[#This Row],[%skill]]&gt;LARGE(t_tools_priorities[threshold],2),"Secondaires","Accessoires"))</f>
        <v>Secondaires</v>
      </c>
    </row>
    <row r="64" spans="2:14" ht="30" x14ac:dyDescent="0.25">
      <c r="B64" s="1" t="s">
        <v>250</v>
      </c>
      <c r="C64" s="1" t="s">
        <v>62</v>
      </c>
      <c r="D64" s="1" t="s">
        <v>63</v>
      </c>
      <c r="E64" s="1" t="s">
        <v>64</v>
      </c>
      <c r="F64" s="22" t="s">
        <v>2</v>
      </c>
      <c r="G64" s="22">
        <v>4</v>
      </c>
      <c r="H64" s="6">
        <f>AVERAGEIFS(t_input[priorité],t_input[code],t_input[[#This Row],[code]])</f>
        <v>3</v>
      </c>
      <c r="I64" s="6">
        <f>IFERROR(INDEX(t_tools_feelings[coeff],MATCH(t_input[[#This Row],[feeling]],t_tools_feelings[feelings],0))/(t_input[[#This Row],[priorité]]*t_input[[#This Row],[priorité]]),0)</f>
        <v>6.25E-2</v>
      </c>
      <c r="J64" s="6">
        <f>SUMIFS(t_input[weight],t_input[code],t_input[[#This Row],[code]])</f>
        <v>1.3525</v>
      </c>
      <c r="K64" s="6">
        <f>SUM(t_input[sum_skill])</f>
        <v>127.10051888888896</v>
      </c>
      <c r="L64" s="7">
        <f>t_input[[#This Row],[sum_skill]]/t_input[[#This Row],[sum_module]]</f>
        <v>1.0641183937119511E-2</v>
      </c>
      <c r="M64" s="7">
        <f>SUMIFS(t_input[%obs],t_input[code],t_input[[#This Row],[code]])</f>
        <v>4.2564735748478043E-2</v>
      </c>
      <c r="N64" s="6" t="str">
        <f>IF(t_input[[#This Row],[%skill]]&gt;LARGE(t_tools_priorities[threshold],1),"Fondamentales",IF(t_input[[#This Row],[%skill]]&gt;LARGE(t_tools_priorities[threshold],2),"Secondaires","Accessoires"))</f>
        <v>Secondaires</v>
      </c>
    </row>
    <row r="65" spans="2:14" ht="30" x14ac:dyDescent="0.25">
      <c r="B65" s="1" t="s">
        <v>250</v>
      </c>
      <c r="C65" s="1" t="s">
        <v>62</v>
      </c>
      <c r="D65" s="1" t="s">
        <v>63</v>
      </c>
      <c r="E65" s="1" t="s">
        <v>93</v>
      </c>
      <c r="F65" s="22" t="s">
        <v>2</v>
      </c>
      <c r="G65" s="22">
        <v>5</v>
      </c>
      <c r="H65" s="6">
        <f>AVERAGEIFS(t_input[priorité],t_input[code],t_input[[#This Row],[code]])</f>
        <v>3</v>
      </c>
      <c r="I65" s="6">
        <f>IFERROR(INDEX(t_tools_feelings[coeff],MATCH(t_input[[#This Row],[feeling]],t_tools_feelings[feelings],0))/(t_input[[#This Row],[priorité]]*t_input[[#This Row],[priorité]]),0)</f>
        <v>0.04</v>
      </c>
      <c r="J65" s="6">
        <f>SUMIFS(t_input[weight],t_input[code],t_input[[#This Row],[code]])</f>
        <v>1.3525</v>
      </c>
      <c r="K65" s="6">
        <f>SUM(t_input[sum_skill])</f>
        <v>127.10051888888896</v>
      </c>
      <c r="L65" s="7">
        <f>t_input[[#This Row],[sum_skill]]/t_input[[#This Row],[sum_module]]</f>
        <v>1.0641183937119511E-2</v>
      </c>
      <c r="M65" s="7">
        <f>SUMIFS(t_input[%obs],t_input[code],t_input[[#This Row],[code]])</f>
        <v>4.2564735748478043E-2</v>
      </c>
      <c r="N65" s="6" t="str">
        <f>IF(t_input[[#This Row],[%skill]]&gt;LARGE(t_tools_priorities[threshold],1),"Fondamentales",IF(t_input[[#This Row],[%skill]]&gt;LARGE(t_tools_priorities[threshold],2),"Secondaires","Accessoires"))</f>
        <v>Secondaires</v>
      </c>
    </row>
    <row r="66" spans="2:14" ht="30" x14ac:dyDescent="0.25">
      <c r="B66" s="1" t="s">
        <v>204</v>
      </c>
      <c r="C66" s="1" t="s">
        <v>120</v>
      </c>
      <c r="D66" s="1" t="s">
        <v>121</v>
      </c>
      <c r="E66" s="1" t="s">
        <v>122</v>
      </c>
      <c r="F66" s="22" t="s">
        <v>2</v>
      </c>
      <c r="G66" s="22">
        <v>2</v>
      </c>
      <c r="H66" s="6">
        <f>AVERAGEIFS(t_input[priorité],t_input[code],t_input[[#This Row],[code]])</f>
        <v>4.5999999999999996</v>
      </c>
      <c r="I66" s="6">
        <f>IFERROR(INDEX(t_tools_feelings[coeff],MATCH(t_input[[#This Row],[feeling]],t_tools_feelings[feelings],0))/(t_input[[#This Row],[priorité]]*t_input[[#This Row],[priorité]]),0)</f>
        <v>0.25</v>
      </c>
      <c r="J66" s="6">
        <f>SUMIFS(t_input[weight],t_input[code],t_input[[#This Row],[code]])</f>
        <v>0.41944444444444445</v>
      </c>
      <c r="K66" s="6">
        <f>SUM(t_input[sum_skill])</f>
        <v>127.10051888888896</v>
      </c>
      <c r="L66" s="7">
        <f>t_input[[#This Row],[sum_skill]]/t_input[[#This Row],[sum_module]]</f>
        <v>3.3001001735572929E-3</v>
      </c>
      <c r="M66" s="7">
        <f>SUMIFS(t_input[%obs],t_input[code],t_input[[#This Row],[code]])</f>
        <v>1.6500500867786465E-2</v>
      </c>
      <c r="N66" s="6" t="str">
        <f>IF(t_input[[#This Row],[%skill]]&gt;LARGE(t_tools_priorities[threshold],1),"Fondamentales",IF(t_input[[#This Row],[%skill]]&gt;LARGE(t_tools_priorities[threshold],2),"Secondaires","Accessoires"))</f>
        <v>Accessoires</v>
      </c>
    </row>
    <row r="67" spans="2:14" ht="30" x14ac:dyDescent="0.25">
      <c r="B67" s="1" t="s">
        <v>204</v>
      </c>
      <c r="C67" s="1" t="s">
        <v>120</v>
      </c>
      <c r="D67" s="1" t="s">
        <v>121</v>
      </c>
      <c r="E67" s="1" t="s">
        <v>368</v>
      </c>
      <c r="F67" s="22" t="s">
        <v>2</v>
      </c>
      <c r="G67" s="22">
        <v>3</v>
      </c>
      <c r="H67" s="6">
        <f>AVERAGEIFS(t_input[priorité],t_input[code],t_input[[#This Row],[code]])</f>
        <v>4.5999999999999996</v>
      </c>
      <c r="I67" s="6">
        <f>IFERROR(INDEX(t_tools_feelings[coeff],MATCH(t_input[[#This Row],[feeling]],t_tools_feelings[feelings],0))/(t_input[[#This Row],[priorité]]*t_input[[#This Row],[priorité]]),0)</f>
        <v>0.1111111111111111</v>
      </c>
      <c r="J67" s="6">
        <f>SUMIFS(t_input[weight],t_input[code],t_input[[#This Row],[code]])</f>
        <v>0.41944444444444445</v>
      </c>
      <c r="K67" s="6">
        <f>SUM(t_input[sum_skill])</f>
        <v>127.10051888888896</v>
      </c>
      <c r="L67" s="7">
        <f>t_input[[#This Row],[sum_skill]]/t_input[[#This Row],[sum_module]]</f>
        <v>3.3001001735572929E-3</v>
      </c>
      <c r="M67" s="7">
        <f>SUMIFS(t_input[%obs],t_input[code],t_input[[#This Row],[code]])</f>
        <v>1.6500500867786465E-2</v>
      </c>
      <c r="N67" s="6" t="str">
        <f>IF(t_input[[#This Row],[%skill]]&gt;LARGE(t_tools_priorities[threshold],1),"Fondamentales",IF(t_input[[#This Row],[%skill]]&gt;LARGE(t_tools_priorities[threshold],2),"Secondaires","Accessoires"))</f>
        <v>Accessoires</v>
      </c>
    </row>
    <row r="68" spans="2:14" ht="30" x14ac:dyDescent="0.25">
      <c r="B68" s="1" t="s">
        <v>204</v>
      </c>
      <c r="C68" s="1" t="s">
        <v>120</v>
      </c>
      <c r="D68" s="1" t="s">
        <v>121</v>
      </c>
      <c r="E68" s="1" t="s">
        <v>132</v>
      </c>
      <c r="F68" s="22" t="s">
        <v>3</v>
      </c>
      <c r="G68" s="22">
        <v>6</v>
      </c>
      <c r="H68" s="6">
        <f>AVERAGEIFS(t_input[priorité],t_input[code],t_input[[#This Row],[code]])</f>
        <v>4.5999999999999996</v>
      </c>
      <c r="I68" s="6">
        <f>IFERROR(INDEX(t_tools_feelings[coeff],MATCH(t_input[[#This Row],[feeling]],t_tools_feelings[feelings],0))/(t_input[[#This Row],[priorité]]*t_input[[#This Row],[priorité]]),0)</f>
        <v>2.7777777777777779E-3</v>
      </c>
      <c r="J68" s="6">
        <f>SUMIFS(t_input[weight],t_input[code],t_input[[#This Row],[code]])</f>
        <v>0.41944444444444445</v>
      </c>
      <c r="K68" s="6">
        <f>SUM(t_input[sum_skill])</f>
        <v>127.10051888888896</v>
      </c>
      <c r="L68" s="7">
        <f>t_input[[#This Row],[sum_skill]]/t_input[[#This Row],[sum_module]]</f>
        <v>3.3001001735572929E-3</v>
      </c>
      <c r="M68" s="7">
        <f>SUMIFS(t_input[%obs],t_input[code],t_input[[#This Row],[code]])</f>
        <v>1.6500500867786465E-2</v>
      </c>
      <c r="N68" s="6" t="str">
        <f>IF(t_input[[#This Row],[%skill]]&gt;LARGE(t_tools_priorities[threshold],1),"Fondamentales",IF(t_input[[#This Row],[%skill]]&gt;LARGE(t_tools_priorities[threshold],2),"Secondaires","Accessoires"))</f>
        <v>Accessoires</v>
      </c>
    </row>
    <row r="69" spans="2:14" ht="30" x14ac:dyDescent="0.25">
      <c r="B69" s="1" t="s">
        <v>204</v>
      </c>
      <c r="C69" s="1" t="s">
        <v>120</v>
      </c>
      <c r="D69" s="1" t="s">
        <v>121</v>
      </c>
      <c r="E69" s="1" t="s">
        <v>123</v>
      </c>
      <c r="F69" s="22" t="s">
        <v>2</v>
      </c>
      <c r="G69" s="22">
        <v>6</v>
      </c>
      <c r="H69" s="6">
        <f>AVERAGEIFS(t_input[priorité],t_input[code],t_input[[#This Row],[code]])</f>
        <v>4.5999999999999996</v>
      </c>
      <c r="I69" s="6">
        <f>IFERROR(INDEX(t_tools_feelings[coeff],MATCH(t_input[[#This Row],[feeling]],t_tools_feelings[feelings],0))/(t_input[[#This Row],[priorité]]*t_input[[#This Row],[priorité]]),0)</f>
        <v>2.7777777777777776E-2</v>
      </c>
      <c r="J69" s="6">
        <f>SUMIFS(t_input[weight],t_input[code],t_input[[#This Row],[code]])</f>
        <v>0.41944444444444445</v>
      </c>
      <c r="K69" s="6">
        <f>SUM(t_input[sum_skill])</f>
        <v>127.10051888888896</v>
      </c>
      <c r="L69" s="7">
        <f>t_input[[#This Row],[sum_skill]]/t_input[[#This Row],[sum_module]]</f>
        <v>3.3001001735572929E-3</v>
      </c>
      <c r="M69" s="7">
        <f>SUMIFS(t_input[%obs],t_input[code],t_input[[#This Row],[code]])</f>
        <v>1.6500500867786465E-2</v>
      </c>
      <c r="N69" s="6" t="str">
        <f>IF(t_input[[#This Row],[%skill]]&gt;LARGE(t_tools_priorities[threshold],1),"Fondamentales",IF(t_input[[#This Row],[%skill]]&gt;LARGE(t_tools_priorities[threshold],2),"Secondaires","Accessoires"))</f>
        <v>Accessoires</v>
      </c>
    </row>
    <row r="70" spans="2:14" ht="30" x14ac:dyDescent="0.25">
      <c r="B70" s="1" t="s">
        <v>204</v>
      </c>
      <c r="C70" s="1" t="s">
        <v>120</v>
      </c>
      <c r="D70" s="1" t="s">
        <v>121</v>
      </c>
      <c r="E70" s="1" t="s">
        <v>124</v>
      </c>
      <c r="F70" s="22" t="s">
        <v>2</v>
      </c>
      <c r="G70" s="22">
        <v>6</v>
      </c>
      <c r="H70" s="6">
        <f>AVERAGEIFS(t_input[priorité],t_input[code],t_input[[#This Row],[code]])</f>
        <v>4.5999999999999996</v>
      </c>
      <c r="I70" s="6">
        <f>IFERROR(INDEX(t_tools_feelings[coeff],MATCH(t_input[[#This Row],[feeling]],t_tools_feelings[feelings],0))/(t_input[[#This Row],[priorité]]*t_input[[#This Row],[priorité]]),0)</f>
        <v>2.7777777777777776E-2</v>
      </c>
      <c r="J70" s="6">
        <f>SUMIFS(t_input[weight],t_input[code],t_input[[#This Row],[code]])</f>
        <v>0.41944444444444445</v>
      </c>
      <c r="K70" s="6">
        <f>SUM(t_input[sum_skill])</f>
        <v>127.10051888888896</v>
      </c>
      <c r="L70" s="7">
        <f>t_input[[#This Row],[sum_skill]]/t_input[[#This Row],[sum_module]]</f>
        <v>3.3001001735572929E-3</v>
      </c>
      <c r="M70" s="7">
        <f>SUMIFS(t_input[%obs],t_input[code],t_input[[#This Row],[code]])</f>
        <v>1.6500500867786465E-2</v>
      </c>
      <c r="N70" s="6" t="str">
        <f>IF(t_input[[#This Row],[%skill]]&gt;LARGE(t_tools_priorities[threshold],1),"Fondamentales",IF(t_input[[#This Row],[%skill]]&gt;LARGE(t_tools_priorities[threshold],2),"Secondaires","Accessoires"))</f>
        <v>Accessoires</v>
      </c>
    </row>
    <row r="71" spans="2:14" ht="45" x14ac:dyDescent="0.25">
      <c r="B71" s="1" t="s">
        <v>274</v>
      </c>
      <c r="C71" s="1" t="s">
        <v>97</v>
      </c>
      <c r="D71" s="1" t="s">
        <v>98</v>
      </c>
      <c r="E71" s="1" t="s">
        <v>102</v>
      </c>
      <c r="F71" s="22" t="s">
        <v>3</v>
      </c>
      <c r="G71" s="22">
        <v>1</v>
      </c>
      <c r="H71" s="6">
        <f>AVERAGEIFS(t_input[priorité],t_input[code],t_input[[#This Row],[code]])</f>
        <v>3.2</v>
      </c>
      <c r="I71" s="6">
        <f>IFERROR(INDEX(t_tools_feelings[coeff],MATCH(t_input[[#This Row],[feeling]],t_tools_feelings[feelings],0))/(t_input[[#This Row],[priorité]]*t_input[[#This Row],[priorité]]),0)</f>
        <v>0.1</v>
      </c>
      <c r="J71" s="6">
        <f>SUMIFS(t_input[weight],t_input[code],t_input[[#This Row],[code]])</f>
        <v>0.22986111111111113</v>
      </c>
      <c r="K71" s="6">
        <f>SUM(t_input[sum_skill])</f>
        <v>127.10051888888896</v>
      </c>
      <c r="L71" s="7">
        <f>t_input[[#This Row],[sum_skill]]/t_input[[#This Row],[sum_module]]</f>
        <v>1.8084986050454703E-3</v>
      </c>
      <c r="M71" s="7">
        <f>SUMIFS(t_input[%obs],t_input[code],t_input[[#This Row],[code]])</f>
        <v>9.0424930252273519E-3</v>
      </c>
      <c r="N71" s="6" t="str">
        <f>IF(t_input[[#This Row],[%skill]]&gt;LARGE(t_tools_priorities[threshold],1),"Fondamentales",IF(t_input[[#This Row],[%skill]]&gt;LARGE(t_tools_priorities[threshold],2),"Secondaires","Accessoires"))</f>
        <v>Accessoires</v>
      </c>
    </row>
    <row r="72" spans="2:14" ht="45" x14ac:dyDescent="0.25">
      <c r="B72" s="1" t="s">
        <v>274</v>
      </c>
      <c r="C72" s="1" t="s">
        <v>97</v>
      </c>
      <c r="D72" s="1" t="s">
        <v>98</v>
      </c>
      <c r="E72" s="1" t="s">
        <v>103</v>
      </c>
      <c r="F72" s="22" t="s">
        <v>2</v>
      </c>
      <c r="G72" s="22">
        <v>3</v>
      </c>
      <c r="H72" s="6">
        <f>AVERAGEIFS(t_input[priorité],t_input[code],t_input[[#This Row],[code]])</f>
        <v>3.2</v>
      </c>
      <c r="I72" s="6">
        <f>IFERROR(INDEX(t_tools_feelings[coeff],MATCH(t_input[[#This Row],[feeling]],t_tools_feelings[feelings],0))/(t_input[[#This Row],[priorité]]*t_input[[#This Row],[priorité]]),0)</f>
        <v>0.1111111111111111</v>
      </c>
      <c r="J72" s="6">
        <f>SUMIFS(t_input[weight],t_input[code],t_input[[#This Row],[code]])</f>
        <v>0.22986111111111113</v>
      </c>
      <c r="K72" s="6">
        <f>SUM(t_input[sum_skill])</f>
        <v>127.10051888888896</v>
      </c>
      <c r="L72" s="7">
        <f>t_input[[#This Row],[sum_skill]]/t_input[[#This Row],[sum_module]]</f>
        <v>1.8084986050454703E-3</v>
      </c>
      <c r="M72" s="7">
        <f>SUMIFS(t_input[%obs],t_input[code],t_input[[#This Row],[code]])</f>
        <v>9.0424930252273519E-3</v>
      </c>
      <c r="N72" s="6" t="str">
        <f>IF(t_input[[#This Row],[%skill]]&gt;LARGE(t_tools_priorities[threshold],1),"Fondamentales",IF(t_input[[#This Row],[%skill]]&gt;LARGE(t_tools_priorities[threshold],2),"Secondaires","Accessoires"))</f>
        <v>Accessoires</v>
      </c>
    </row>
    <row r="73" spans="2:14" ht="45" x14ac:dyDescent="0.25">
      <c r="B73" s="1" t="s">
        <v>274</v>
      </c>
      <c r="C73" s="1" t="s">
        <v>97</v>
      </c>
      <c r="D73" s="1" t="s">
        <v>98</v>
      </c>
      <c r="E73" s="1" t="s">
        <v>99</v>
      </c>
      <c r="F73" s="22" t="s">
        <v>3</v>
      </c>
      <c r="G73" s="22">
        <v>4</v>
      </c>
      <c r="H73" s="6">
        <f>AVERAGEIFS(t_input[priorité],t_input[code],t_input[[#This Row],[code]])</f>
        <v>3.2</v>
      </c>
      <c r="I73" s="6">
        <f>IFERROR(INDEX(t_tools_feelings[coeff],MATCH(t_input[[#This Row],[feeling]],t_tools_feelings[feelings],0))/(t_input[[#This Row],[priorité]]*t_input[[#This Row],[priorité]]),0)</f>
        <v>6.2500000000000003E-3</v>
      </c>
      <c r="J73" s="6">
        <f>SUMIFS(t_input[weight],t_input[code],t_input[[#This Row],[code]])</f>
        <v>0.22986111111111113</v>
      </c>
      <c r="K73" s="6">
        <f>SUM(t_input[sum_skill])</f>
        <v>127.10051888888896</v>
      </c>
      <c r="L73" s="7">
        <f>t_input[[#This Row],[sum_skill]]/t_input[[#This Row],[sum_module]]</f>
        <v>1.8084986050454703E-3</v>
      </c>
      <c r="M73" s="7">
        <f>SUMIFS(t_input[%obs],t_input[code],t_input[[#This Row],[code]])</f>
        <v>9.0424930252273519E-3</v>
      </c>
      <c r="N73" s="6" t="str">
        <f>IF(t_input[[#This Row],[%skill]]&gt;LARGE(t_tools_priorities[threshold],1),"Fondamentales",IF(t_input[[#This Row],[%skill]]&gt;LARGE(t_tools_priorities[threshold],2),"Secondaires","Accessoires"))</f>
        <v>Accessoires</v>
      </c>
    </row>
    <row r="74" spans="2:14" ht="45" x14ac:dyDescent="0.25">
      <c r="B74" s="1" t="s">
        <v>274</v>
      </c>
      <c r="C74" s="1" t="s">
        <v>97</v>
      </c>
      <c r="D74" s="1" t="s">
        <v>98</v>
      </c>
      <c r="E74" s="1" t="s">
        <v>100</v>
      </c>
      <c r="F74" s="22" t="s">
        <v>3</v>
      </c>
      <c r="G74" s="22">
        <v>4</v>
      </c>
      <c r="H74" s="6">
        <f>AVERAGEIFS(t_input[priorité],t_input[code],t_input[[#This Row],[code]])</f>
        <v>3.2</v>
      </c>
      <c r="I74" s="6">
        <f>IFERROR(INDEX(t_tools_feelings[coeff],MATCH(t_input[[#This Row],[feeling]],t_tools_feelings[feelings],0))/(t_input[[#This Row],[priorité]]*t_input[[#This Row],[priorité]]),0)</f>
        <v>6.2500000000000003E-3</v>
      </c>
      <c r="J74" s="6">
        <f>SUMIFS(t_input[weight],t_input[code],t_input[[#This Row],[code]])</f>
        <v>0.22986111111111113</v>
      </c>
      <c r="K74" s="6">
        <f>SUM(t_input[sum_skill])</f>
        <v>127.10051888888896</v>
      </c>
      <c r="L74" s="7">
        <f>t_input[[#This Row],[sum_skill]]/t_input[[#This Row],[sum_module]]</f>
        <v>1.8084986050454703E-3</v>
      </c>
      <c r="M74" s="7">
        <f>SUMIFS(t_input[%obs],t_input[code],t_input[[#This Row],[code]])</f>
        <v>9.0424930252273519E-3</v>
      </c>
      <c r="N74" s="6" t="str">
        <f>IF(t_input[[#This Row],[%skill]]&gt;LARGE(t_tools_priorities[threshold],1),"Fondamentales",IF(t_input[[#This Row],[%skill]]&gt;LARGE(t_tools_priorities[threshold],2),"Secondaires","Accessoires"))</f>
        <v>Accessoires</v>
      </c>
    </row>
    <row r="75" spans="2:14" ht="45" x14ac:dyDescent="0.25">
      <c r="B75" s="1" t="s">
        <v>274</v>
      </c>
      <c r="C75" s="1" t="s">
        <v>97</v>
      </c>
      <c r="D75" s="1" t="s">
        <v>98</v>
      </c>
      <c r="E75" s="1" t="s">
        <v>101</v>
      </c>
      <c r="F75" s="22" t="s">
        <v>3</v>
      </c>
      <c r="G75" s="22">
        <v>4</v>
      </c>
      <c r="H75" s="6">
        <f>AVERAGEIFS(t_input[priorité],t_input[code],t_input[[#This Row],[code]])</f>
        <v>3.2</v>
      </c>
      <c r="I75" s="6">
        <f>IFERROR(INDEX(t_tools_feelings[coeff],MATCH(t_input[[#This Row],[feeling]],t_tools_feelings[feelings],0))/(t_input[[#This Row],[priorité]]*t_input[[#This Row],[priorité]]),0)</f>
        <v>6.2500000000000003E-3</v>
      </c>
      <c r="J75" s="6">
        <f>SUMIFS(t_input[weight],t_input[code],t_input[[#This Row],[code]])</f>
        <v>0.22986111111111113</v>
      </c>
      <c r="K75" s="6">
        <f>SUM(t_input[sum_skill])</f>
        <v>127.10051888888896</v>
      </c>
      <c r="L75" s="7">
        <f>t_input[[#This Row],[sum_skill]]/t_input[[#This Row],[sum_module]]</f>
        <v>1.8084986050454703E-3</v>
      </c>
      <c r="M75" s="7">
        <f>SUMIFS(t_input[%obs],t_input[code],t_input[[#This Row],[code]])</f>
        <v>9.0424930252273519E-3</v>
      </c>
      <c r="N75" s="6" t="str">
        <f>IF(t_input[[#This Row],[%skill]]&gt;LARGE(t_tools_priorities[threshold],1),"Fondamentales",IF(t_input[[#This Row],[%skill]]&gt;LARGE(t_tools_priorities[threshold],2),"Secondaires","Accessoires"))</f>
        <v>Accessoires</v>
      </c>
    </row>
    <row r="76" spans="2:14" ht="30" x14ac:dyDescent="0.25">
      <c r="B76" s="1" t="s">
        <v>251</v>
      </c>
      <c r="C76" s="1" t="s">
        <v>65</v>
      </c>
      <c r="D76" s="1" t="s">
        <v>66</v>
      </c>
      <c r="E76" s="1" t="s">
        <v>95</v>
      </c>
      <c r="F76" s="22" t="s">
        <v>2</v>
      </c>
      <c r="G76" s="22">
        <v>3</v>
      </c>
      <c r="H76" s="6">
        <f>AVERAGEIFS(t_input[priorité],t_input[code],t_input[[#This Row],[code]])</f>
        <v>4.25</v>
      </c>
      <c r="I76" s="6">
        <f>IFERROR(INDEX(t_tools_feelings[coeff],MATCH(t_input[[#This Row],[feeling]],t_tools_feelings[feelings],0))/(t_input[[#This Row],[priorité]]*t_input[[#This Row],[priorité]]),0)</f>
        <v>0.1111111111111111</v>
      </c>
      <c r="J76" s="6">
        <f>SUMIFS(t_input[weight],t_input[code],t_input[[#This Row],[code]])</f>
        <v>0.28999999999999998</v>
      </c>
      <c r="K76" s="6">
        <f>SUM(t_input[sum_skill])</f>
        <v>127.10051888888896</v>
      </c>
      <c r="L76" s="7">
        <f>t_input[[#This Row],[sum_skill]]/t_input[[#This Row],[sum_module]]</f>
        <v>2.2816586630422606E-3</v>
      </c>
      <c r="M76" s="7">
        <f>SUMIFS(t_input[%obs],t_input[code],t_input[[#This Row],[code]])</f>
        <v>9.1266346521690425E-3</v>
      </c>
      <c r="N76" s="6" t="str">
        <f>IF(t_input[[#This Row],[%skill]]&gt;LARGE(t_tools_priorities[threshold],1),"Fondamentales",IF(t_input[[#This Row],[%skill]]&gt;LARGE(t_tools_priorities[threshold],2),"Secondaires","Accessoires"))</f>
        <v>Accessoires</v>
      </c>
    </row>
    <row r="77" spans="2:14" ht="30" x14ac:dyDescent="0.25">
      <c r="B77" s="1" t="s">
        <v>251</v>
      </c>
      <c r="C77" s="1" t="s">
        <v>65</v>
      </c>
      <c r="D77" s="1" t="s">
        <v>66</v>
      </c>
      <c r="E77" s="1" t="s">
        <v>67</v>
      </c>
      <c r="F77" s="22" t="s">
        <v>2</v>
      </c>
      <c r="G77" s="22">
        <v>3</v>
      </c>
      <c r="H77" s="6">
        <f>AVERAGEIFS(t_input[priorité],t_input[code],t_input[[#This Row],[code]])</f>
        <v>4.25</v>
      </c>
      <c r="I77" s="6">
        <f>IFERROR(INDEX(t_tools_feelings[coeff],MATCH(t_input[[#This Row],[feeling]],t_tools_feelings[feelings],0))/(t_input[[#This Row],[priorité]]*t_input[[#This Row],[priorité]]),0)</f>
        <v>0.1111111111111111</v>
      </c>
      <c r="J77" s="6">
        <f>SUMIFS(t_input[weight],t_input[code],t_input[[#This Row],[code]])</f>
        <v>0.28999999999999998</v>
      </c>
      <c r="K77" s="6">
        <f>SUM(t_input[sum_skill])</f>
        <v>127.10051888888896</v>
      </c>
      <c r="L77" s="7">
        <f>t_input[[#This Row],[sum_skill]]/t_input[[#This Row],[sum_module]]</f>
        <v>2.2816586630422606E-3</v>
      </c>
      <c r="M77" s="7">
        <f>SUMIFS(t_input[%obs],t_input[code],t_input[[#This Row],[code]])</f>
        <v>9.1266346521690425E-3</v>
      </c>
      <c r="N77" s="6" t="str">
        <f>IF(t_input[[#This Row],[%skill]]&gt;LARGE(t_tools_priorities[threshold],1),"Fondamentales",IF(t_input[[#This Row],[%skill]]&gt;LARGE(t_tools_priorities[threshold],2),"Secondaires","Accessoires"))</f>
        <v>Accessoires</v>
      </c>
    </row>
    <row r="78" spans="2:14" ht="30" x14ac:dyDescent="0.25">
      <c r="B78" s="1" t="s">
        <v>251</v>
      </c>
      <c r="C78" s="1" t="s">
        <v>65</v>
      </c>
      <c r="D78" s="1" t="s">
        <v>66</v>
      </c>
      <c r="E78" s="1" t="s">
        <v>68</v>
      </c>
      <c r="F78" s="22" t="s">
        <v>2</v>
      </c>
      <c r="G78" s="22">
        <v>5</v>
      </c>
      <c r="H78" s="6">
        <f>AVERAGEIFS(t_input[priorité],t_input[code],t_input[[#This Row],[code]])</f>
        <v>4.25</v>
      </c>
      <c r="I78" s="6">
        <f>IFERROR(INDEX(t_tools_feelings[coeff],MATCH(t_input[[#This Row],[feeling]],t_tools_feelings[feelings],0))/(t_input[[#This Row],[priorité]]*t_input[[#This Row],[priorité]]),0)</f>
        <v>0.04</v>
      </c>
      <c r="J78" s="6">
        <f>SUMIFS(t_input[weight],t_input[code],t_input[[#This Row],[code]])</f>
        <v>0.28999999999999998</v>
      </c>
      <c r="K78" s="6">
        <f>SUM(t_input[sum_skill])</f>
        <v>127.10051888888896</v>
      </c>
      <c r="L78" s="7">
        <f>t_input[[#This Row],[sum_skill]]/t_input[[#This Row],[sum_module]]</f>
        <v>2.2816586630422606E-3</v>
      </c>
      <c r="M78" s="7">
        <f>SUMIFS(t_input[%obs],t_input[code],t_input[[#This Row],[code]])</f>
        <v>9.1266346521690425E-3</v>
      </c>
      <c r="N78" s="6" t="str">
        <f>IF(t_input[[#This Row],[%skill]]&gt;LARGE(t_tools_priorities[threshold],1),"Fondamentales",IF(t_input[[#This Row],[%skill]]&gt;LARGE(t_tools_priorities[threshold],2),"Secondaires","Accessoires"))</f>
        <v>Accessoires</v>
      </c>
    </row>
    <row r="79" spans="2:14" ht="30" x14ac:dyDescent="0.25">
      <c r="B79" s="1" t="s">
        <v>251</v>
      </c>
      <c r="C79" s="1" t="s">
        <v>65</v>
      </c>
      <c r="D79" s="1" t="s">
        <v>66</v>
      </c>
      <c r="E79" s="1" t="s">
        <v>69</v>
      </c>
      <c r="F79" s="22" t="s">
        <v>2</v>
      </c>
      <c r="G79" s="22">
        <v>6</v>
      </c>
      <c r="H79" s="6">
        <f>AVERAGEIFS(t_input[priorité],t_input[code],t_input[[#This Row],[code]])</f>
        <v>4.25</v>
      </c>
      <c r="I79" s="6">
        <f>IFERROR(INDEX(t_tools_feelings[coeff],MATCH(t_input[[#This Row],[feeling]],t_tools_feelings[feelings],0))/(t_input[[#This Row],[priorité]]*t_input[[#This Row],[priorité]]),0)</f>
        <v>2.7777777777777776E-2</v>
      </c>
      <c r="J79" s="6">
        <f>SUMIFS(t_input[weight],t_input[code],t_input[[#This Row],[code]])</f>
        <v>0.28999999999999998</v>
      </c>
      <c r="K79" s="6">
        <f>SUM(t_input[sum_skill])</f>
        <v>127.10051888888896</v>
      </c>
      <c r="L79" s="7">
        <f>t_input[[#This Row],[sum_skill]]/t_input[[#This Row],[sum_module]]</f>
        <v>2.2816586630422606E-3</v>
      </c>
      <c r="M79" s="7">
        <f>SUMIFS(t_input[%obs],t_input[code],t_input[[#This Row],[code]])</f>
        <v>9.1266346521690425E-3</v>
      </c>
      <c r="N79" s="6" t="str">
        <f>IF(t_input[[#This Row],[%skill]]&gt;LARGE(t_tools_priorities[threshold],1),"Fondamentales",IF(t_input[[#This Row],[%skill]]&gt;LARGE(t_tools_priorities[threshold],2),"Secondaires","Accessoires"))</f>
        <v>Accessoires</v>
      </c>
    </row>
    <row r="80" spans="2:14" ht="30" x14ac:dyDescent="0.25">
      <c r="B80" s="1" t="s">
        <v>213</v>
      </c>
      <c r="C80" s="1" t="s">
        <v>83</v>
      </c>
      <c r="D80" s="1" t="s">
        <v>84</v>
      </c>
      <c r="E80" s="1" t="s">
        <v>359</v>
      </c>
      <c r="F80" s="22" t="s">
        <v>2</v>
      </c>
      <c r="G80" s="22">
        <v>2</v>
      </c>
      <c r="H80" s="6">
        <f>AVERAGEIFS(t_input[priorité],t_input[code],t_input[[#This Row],[code]])</f>
        <v>3.3333333333333335</v>
      </c>
      <c r="I80" s="6">
        <f>IFERROR(INDEX(t_tools_feelings[coeff],MATCH(t_input[[#This Row],[feeling]],t_tools_feelings[feelings],0))/(t_input[[#This Row],[priorité]]*t_input[[#This Row],[priorité]]),0)</f>
        <v>0.25</v>
      </c>
      <c r="J80" s="6">
        <f>SUMIFS(t_input[weight],t_input[code],t_input[[#This Row],[code]])</f>
        <v>0.40111111111111108</v>
      </c>
      <c r="K80" s="6">
        <f>SUM(t_input[sum_skill])</f>
        <v>127.10051888888896</v>
      </c>
      <c r="L80" s="7">
        <f>t_input[[#This Row],[sum_skill]]/t_input[[#This Row],[sum_module]]</f>
        <v>3.1558573845143914E-3</v>
      </c>
      <c r="M80" s="7">
        <f>SUMIFS(t_input[%obs],t_input[code],t_input[[#This Row],[code]])</f>
        <v>9.4675721535431752E-3</v>
      </c>
      <c r="N80" s="6" t="str">
        <f>IF(t_input[[#This Row],[%skill]]&gt;LARGE(t_tools_priorities[threshold],1),"Fondamentales",IF(t_input[[#This Row],[%skill]]&gt;LARGE(t_tools_priorities[threshold],2),"Secondaires","Accessoires"))</f>
        <v>Accessoires</v>
      </c>
    </row>
    <row r="81" spans="2:14" ht="30" x14ac:dyDescent="0.25">
      <c r="B81" s="1" t="s">
        <v>213</v>
      </c>
      <c r="C81" s="1" t="s">
        <v>83</v>
      </c>
      <c r="D81" s="1" t="s">
        <v>84</v>
      </c>
      <c r="E81" s="1" t="s">
        <v>365</v>
      </c>
      <c r="F81" s="22" t="s">
        <v>2</v>
      </c>
      <c r="G81" s="22">
        <v>3</v>
      </c>
      <c r="H81" s="6">
        <f>AVERAGEIFS(t_input[priorité],t_input[code],t_input[[#This Row],[code]])</f>
        <v>3.3333333333333335</v>
      </c>
      <c r="I81" s="6">
        <f>IFERROR(INDEX(t_tools_feelings[coeff],MATCH(t_input[[#This Row],[feeling]],t_tools_feelings[feelings],0))/(t_input[[#This Row],[priorité]]*t_input[[#This Row],[priorité]]),0)</f>
        <v>0.1111111111111111</v>
      </c>
      <c r="J81" s="6">
        <f>SUMIFS(t_input[weight],t_input[code],t_input[[#This Row],[code]])</f>
        <v>0.40111111111111108</v>
      </c>
      <c r="K81" s="6">
        <f>SUM(t_input[sum_skill])</f>
        <v>127.10051888888896</v>
      </c>
      <c r="L81" s="7">
        <f>t_input[[#This Row],[sum_skill]]/t_input[[#This Row],[sum_module]]</f>
        <v>3.1558573845143914E-3</v>
      </c>
      <c r="M81" s="7">
        <f>SUMIFS(t_input[%obs],t_input[code],t_input[[#This Row],[code]])</f>
        <v>9.4675721535431752E-3</v>
      </c>
      <c r="N81" s="6" t="str">
        <f>IF(t_input[[#This Row],[%skill]]&gt;LARGE(t_tools_priorities[threshold],1),"Fondamentales",IF(t_input[[#This Row],[%skill]]&gt;LARGE(t_tools_priorities[threshold],2),"Secondaires","Accessoires"))</f>
        <v>Accessoires</v>
      </c>
    </row>
    <row r="82" spans="2:14" ht="30" x14ac:dyDescent="0.25">
      <c r="B82" s="1" t="s">
        <v>213</v>
      </c>
      <c r="C82" s="1" t="s">
        <v>83</v>
      </c>
      <c r="D82" s="1" t="s">
        <v>84</v>
      </c>
      <c r="E82" s="1" t="s">
        <v>375</v>
      </c>
      <c r="F82" s="22" t="s">
        <v>2</v>
      </c>
      <c r="G82" s="22">
        <v>5</v>
      </c>
      <c r="H82" s="6">
        <f>AVERAGEIFS(t_input[priorité],t_input[code],t_input[[#This Row],[code]])</f>
        <v>3.3333333333333335</v>
      </c>
      <c r="I82" s="6">
        <f>IFERROR(INDEX(t_tools_feelings[coeff],MATCH(t_input[[#This Row],[feeling]],t_tools_feelings[feelings],0))/(t_input[[#This Row],[priorité]]*t_input[[#This Row],[priorité]]),0)</f>
        <v>0.04</v>
      </c>
      <c r="J82" s="6">
        <f>SUMIFS(t_input[weight],t_input[code],t_input[[#This Row],[code]])</f>
        <v>0.40111111111111108</v>
      </c>
      <c r="K82" s="6">
        <f>SUM(t_input[sum_skill])</f>
        <v>127.10051888888896</v>
      </c>
      <c r="L82" s="7">
        <f>t_input[[#This Row],[sum_skill]]/t_input[[#This Row],[sum_module]]</f>
        <v>3.1558573845143914E-3</v>
      </c>
      <c r="M82" s="7">
        <f>SUMIFS(t_input[%obs],t_input[code],t_input[[#This Row],[code]])</f>
        <v>9.4675721535431752E-3</v>
      </c>
      <c r="N82" s="6" t="str">
        <f>IF(t_input[[#This Row],[%skill]]&gt;LARGE(t_tools_priorities[threshold],1),"Fondamentales",IF(t_input[[#This Row],[%skill]]&gt;LARGE(t_tools_priorities[threshold],2),"Secondaires","Accessoires"))</f>
        <v>Accessoires</v>
      </c>
    </row>
    <row r="83" spans="2:14" ht="30" x14ac:dyDescent="0.25">
      <c r="B83" s="1" t="s">
        <v>229</v>
      </c>
      <c r="C83" s="1" t="s">
        <v>90</v>
      </c>
      <c r="D83" s="1" t="s">
        <v>91</v>
      </c>
      <c r="E83" s="1" t="s">
        <v>349</v>
      </c>
      <c r="F83" s="22" t="s">
        <v>2</v>
      </c>
      <c r="G83" s="22">
        <v>1</v>
      </c>
      <c r="H83" s="6">
        <f>AVERAGEIFS(t_input[priorité],t_input[code],t_input[[#This Row],[code]])</f>
        <v>1.5</v>
      </c>
      <c r="I83" s="6">
        <f>IFERROR(INDEX(t_tools_feelings[coeff],MATCH(t_input[[#This Row],[feeling]],t_tools_feelings[feelings],0))/(t_input[[#This Row],[priorité]]*t_input[[#This Row],[priorité]]),0)</f>
        <v>1</v>
      </c>
      <c r="J83" s="6">
        <f>SUMIFS(t_input[weight],t_input[code],t_input[[#This Row],[code]])</f>
        <v>1.25</v>
      </c>
      <c r="K83" s="6">
        <f>SUM(t_input[sum_skill])</f>
        <v>127.10051888888896</v>
      </c>
      <c r="L83" s="7">
        <f>t_input[[#This Row],[sum_skill]]/t_input[[#This Row],[sum_module]]</f>
        <v>9.8347356165614692E-3</v>
      </c>
      <c r="M83" s="7">
        <f>SUMIFS(t_input[%obs],t_input[code],t_input[[#This Row],[code]])</f>
        <v>1.9669471233122938E-2</v>
      </c>
      <c r="N83" s="6" t="str">
        <f>IF(t_input[[#This Row],[%skill]]&gt;LARGE(t_tools_priorities[threshold],1),"Fondamentales",IF(t_input[[#This Row],[%skill]]&gt;LARGE(t_tools_priorities[threshold],2),"Secondaires","Accessoires"))</f>
        <v>Accessoires</v>
      </c>
    </row>
    <row r="84" spans="2:14" ht="30" x14ac:dyDescent="0.25">
      <c r="B84" s="1" t="s">
        <v>229</v>
      </c>
      <c r="C84" s="1" t="s">
        <v>90</v>
      </c>
      <c r="D84" s="1" t="s">
        <v>91</v>
      </c>
      <c r="E84" s="1" t="s">
        <v>92</v>
      </c>
      <c r="F84" s="22" t="s">
        <v>2</v>
      </c>
      <c r="G84" s="22">
        <v>2</v>
      </c>
      <c r="H84" s="6">
        <f>AVERAGEIFS(t_input[priorité],t_input[code],t_input[[#This Row],[code]])</f>
        <v>1.5</v>
      </c>
      <c r="I84" s="6">
        <f>IFERROR(INDEX(t_tools_feelings[coeff],MATCH(t_input[[#This Row],[feeling]],t_tools_feelings[feelings],0))/(t_input[[#This Row],[priorité]]*t_input[[#This Row],[priorité]]),0)</f>
        <v>0.25</v>
      </c>
      <c r="J84" s="6">
        <f>SUMIFS(t_input[weight],t_input[code],t_input[[#This Row],[code]])</f>
        <v>1.25</v>
      </c>
      <c r="K84" s="6">
        <f>SUM(t_input[sum_skill])</f>
        <v>127.10051888888896</v>
      </c>
      <c r="L84" s="7">
        <f>t_input[[#This Row],[sum_skill]]/t_input[[#This Row],[sum_module]]</f>
        <v>9.8347356165614692E-3</v>
      </c>
      <c r="M84" s="7">
        <f>SUMIFS(t_input[%obs],t_input[code],t_input[[#This Row],[code]])</f>
        <v>1.9669471233122938E-2</v>
      </c>
      <c r="N84" s="6" t="str">
        <f>IF(t_input[[#This Row],[%skill]]&gt;LARGE(t_tools_priorities[threshold],1),"Fondamentales",IF(t_input[[#This Row],[%skill]]&gt;LARGE(t_tools_priorities[threshold],2),"Secondaires","Accessoires"))</f>
        <v>Accessoires</v>
      </c>
    </row>
    <row r="85" spans="2:14" ht="30" x14ac:dyDescent="0.25">
      <c r="B85" s="1" t="s">
        <v>207</v>
      </c>
      <c r="C85" s="1" t="s">
        <v>10</v>
      </c>
      <c r="D85" s="1" t="s">
        <v>11</v>
      </c>
      <c r="E85" s="1" t="s">
        <v>377</v>
      </c>
      <c r="F85" s="22" t="s">
        <v>2</v>
      </c>
      <c r="G85" s="22">
        <v>5</v>
      </c>
      <c r="H85" s="6">
        <f>AVERAGEIFS(t_input[priorité],t_input[code],t_input[[#This Row],[code]])</f>
        <v>5.5</v>
      </c>
      <c r="I85" s="6">
        <f>IFERROR(INDEX(t_tools_feelings[coeff],MATCH(t_input[[#This Row],[feeling]],t_tools_feelings[feelings],0))/(t_input[[#This Row],[priorité]]*t_input[[#This Row],[priorité]]),0)</f>
        <v>0.04</v>
      </c>
      <c r="J85" s="6">
        <f>SUMIFS(t_input[weight],t_input[code],t_input[[#This Row],[code]])</f>
        <v>0.13555555555555554</v>
      </c>
      <c r="K85" s="6">
        <f>SUM(t_input[sum_skill])</f>
        <v>127.10051888888896</v>
      </c>
      <c r="L85" s="7">
        <f>t_input[[#This Row],[sum_skill]]/t_input[[#This Row],[sum_module]]</f>
        <v>1.0665224401959993E-3</v>
      </c>
      <c r="M85" s="7">
        <f>SUMIFS(t_input[%obs],t_input[code],t_input[[#This Row],[code]])</f>
        <v>4.2660897607839973E-3</v>
      </c>
      <c r="N85" s="6" t="str">
        <f>IF(t_input[[#This Row],[%skill]]&gt;LARGE(t_tools_priorities[threshold],1),"Fondamentales",IF(t_input[[#This Row],[%skill]]&gt;LARGE(t_tools_priorities[threshold],2),"Secondaires","Accessoires"))</f>
        <v>Accessoires</v>
      </c>
    </row>
    <row r="86" spans="2:14" ht="30" x14ac:dyDescent="0.25">
      <c r="B86" s="1" t="s">
        <v>207</v>
      </c>
      <c r="C86" s="1" t="s">
        <v>10</v>
      </c>
      <c r="D86" s="1" t="s">
        <v>11</v>
      </c>
      <c r="E86" s="1" t="s">
        <v>12</v>
      </c>
      <c r="F86" s="22" t="s">
        <v>2</v>
      </c>
      <c r="G86" s="22">
        <v>5</v>
      </c>
      <c r="H86" s="6">
        <f>AVERAGEIFS(t_input[priorité],t_input[code],t_input[[#This Row],[code]])</f>
        <v>5.5</v>
      </c>
      <c r="I86" s="6">
        <f>IFERROR(INDEX(t_tools_feelings[coeff],MATCH(t_input[[#This Row],[feeling]],t_tools_feelings[feelings],0))/(t_input[[#This Row],[priorité]]*t_input[[#This Row],[priorité]]),0)</f>
        <v>0.04</v>
      </c>
      <c r="J86" s="6">
        <f>SUMIFS(t_input[weight],t_input[code],t_input[[#This Row],[code]])</f>
        <v>0.13555555555555554</v>
      </c>
      <c r="K86" s="6">
        <f>SUM(t_input[sum_skill])</f>
        <v>127.10051888888896</v>
      </c>
      <c r="L86" s="7">
        <f>t_input[[#This Row],[sum_skill]]/t_input[[#This Row],[sum_module]]</f>
        <v>1.0665224401959993E-3</v>
      </c>
      <c r="M86" s="7">
        <f>SUMIFS(t_input[%obs],t_input[code],t_input[[#This Row],[code]])</f>
        <v>4.2660897607839973E-3</v>
      </c>
      <c r="N86" s="6" t="str">
        <f>IF(t_input[[#This Row],[%skill]]&gt;LARGE(t_tools_priorities[threshold],1),"Fondamentales",IF(t_input[[#This Row],[%skill]]&gt;LARGE(t_tools_priorities[threshold],2),"Secondaires","Accessoires"))</f>
        <v>Accessoires</v>
      </c>
    </row>
    <row r="87" spans="2:14" ht="30" x14ac:dyDescent="0.25">
      <c r="B87" s="1" t="s">
        <v>207</v>
      </c>
      <c r="C87" s="1" t="s">
        <v>10</v>
      </c>
      <c r="D87" s="1" t="s">
        <v>11</v>
      </c>
      <c r="E87" s="1" t="s">
        <v>111</v>
      </c>
      <c r="F87" s="22" t="s">
        <v>2</v>
      </c>
      <c r="G87" s="22">
        <v>6</v>
      </c>
      <c r="H87" s="6">
        <f>AVERAGEIFS(t_input[priorité],t_input[code],t_input[[#This Row],[code]])</f>
        <v>5.5</v>
      </c>
      <c r="I87" s="6">
        <f>IFERROR(INDEX(t_tools_feelings[coeff],MATCH(t_input[[#This Row],[feeling]],t_tools_feelings[feelings],0))/(t_input[[#This Row],[priorité]]*t_input[[#This Row],[priorité]]),0)</f>
        <v>2.7777777777777776E-2</v>
      </c>
      <c r="J87" s="6">
        <f>SUMIFS(t_input[weight],t_input[code],t_input[[#This Row],[code]])</f>
        <v>0.13555555555555554</v>
      </c>
      <c r="K87" s="6">
        <f>SUM(t_input[sum_skill])</f>
        <v>127.10051888888896</v>
      </c>
      <c r="L87" s="7">
        <f>t_input[[#This Row],[sum_skill]]/t_input[[#This Row],[sum_module]]</f>
        <v>1.0665224401959993E-3</v>
      </c>
      <c r="M87" s="7">
        <f>SUMIFS(t_input[%obs],t_input[code],t_input[[#This Row],[code]])</f>
        <v>4.2660897607839973E-3</v>
      </c>
      <c r="N87" s="6" t="str">
        <f>IF(t_input[[#This Row],[%skill]]&gt;LARGE(t_tools_priorities[threshold],1),"Fondamentales",IF(t_input[[#This Row],[%skill]]&gt;LARGE(t_tools_priorities[threshold],2),"Secondaires","Accessoires"))</f>
        <v>Accessoires</v>
      </c>
    </row>
    <row r="88" spans="2:14" ht="45" x14ac:dyDescent="0.25">
      <c r="B88" s="1" t="s">
        <v>207</v>
      </c>
      <c r="C88" s="1" t="s">
        <v>10</v>
      </c>
      <c r="D88" s="1" t="s">
        <v>11</v>
      </c>
      <c r="E88" s="1" t="s">
        <v>86</v>
      </c>
      <c r="F88" s="22" t="s">
        <v>2</v>
      </c>
      <c r="G88" s="22">
        <v>6</v>
      </c>
      <c r="H88" s="6">
        <f>AVERAGEIFS(t_input[priorité],t_input[code],t_input[[#This Row],[code]])</f>
        <v>5.5</v>
      </c>
      <c r="I88" s="6">
        <f>IFERROR(INDEX(t_tools_feelings[coeff],MATCH(t_input[[#This Row],[feeling]],t_tools_feelings[feelings],0))/(t_input[[#This Row],[priorité]]*t_input[[#This Row],[priorité]]),0)</f>
        <v>2.7777777777777776E-2</v>
      </c>
      <c r="J88" s="6">
        <f>SUMIFS(t_input[weight],t_input[code],t_input[[#This Row],[code]])</f>
        <v>0.13555555555555554</v>
      </c>
      <c r="K88" s="6">
        <f>SUM(t_input[sum_skill])</f>
        <v>127.10051888888896</v>
      </c>
      <c r="L88" s="7">
        <f>t_input[[#This Row],[sum_skill]]/t_input[[#This Row],[sum_module]]</f>
        <v>1.0665224401959993E-3</v>
      </c>
      <c r="M88" s="7">
        <f>SUMIFS(t_input[%obs],t_input[code],t_input[[#This Row],[code]])</f>
        <v>4.2660897607839973E-3</v>
      </c>
      <c r="N88" s="6" t="str">
        <f>IF(t_input[[#This Row],[%skill]]&gt;LARGE(t_tools_priorities[threshold],1),"Fondamentales",IF(t_input[[#This Row],[%skill]]&gt;LARGE(t_tools_priorities[threshold],2),"Secondaires","Accessoires"))</f>
        <v>Accessoires</v>
      </c>
    </row>
    <row r="89" spans="2:14" ht="30" x14ac:dyDescent="0.25">
      <c r="B89" s="1" t="s">
        <v>320</v>
      </c>
      <c r="C89" s="1" t="s">
        <v>117</v>
      </c>
      <c r="D89" s="1" t="s">
        <v>118</v>
      </c>
      <c r="E89" s="1" t="s">
        <v>360</v>
      </c>
      <c r="F89" s="22" t="s">
        <v>2</v>
      </c>
      <c r="G89" s="22">
        <v>2</v>
      </c>
      <c r="H89" s="6">
        <f>AVERAGEIFS(t_input[priorité],t_input[code],t_input[[#This Row],[code]])</f>
        <v>3.6666666666666665</v>
      </c>
      <c r="I89" s="6">
        <f>IFERROR(INDEX(t_tools_feelings[coeff],MATCH(t_input[[#This Row],[feeling]],t_tools_feelings[feelings],0))/(t_input[[#This Row],[priorité]]*t_input[[#This Row],[priorité]]),0)</f>
        <v>0.25</v>
      </c>
      <c r="J89" s="6">
        <f>SUMIFS(t_input[weight],t_input[code],t_input[[#This Row],[code]])</f>
        <v>0.35249999999999998</v>
      </c>
      <c r="K89" s="6">
        <f>SUM(t_input[sum_skill])</f>
        <v>127.10051888888896</v>
      </c>
      <c r="L89" s="7">
        <f>t_input[[#This Row],[sum_skill]]/t_input[[#This Row],[sum_module]]</f>
        <v>2.7733954438703343E-3</v>
      </c>
      <c r="M89" s="7">
        <f>SUMIFS(t_input[%obs],t_input[code],t_input[[#This Row],[code]])</f>
        <v>8.3201863316110028E-3</v>
      </c>
      <c r="N89" s="6" t="str">
        <f>IF(t_input[[#This Row],[%skill]]&gt;LARGE(t_tools_priorities[threshold],1),"Fondamentales",IF(t_input[[#This Row],[%skill]]&gt;LARGE(t_tools_priorities[threshold],2),"Secondaires","Accessoires"))</f>
        <v>Accessoires</v>
      </c>
    </row>
    <row r="90" spans="2:14" ht="45" x14ac:dyDescent="0.25">
      <c r="B90" s="1" t="s">
        <v>320</v>
      </c>
      <c r="C90" s="1" t="s">
        <v>117</v>
      </c>
      <c r="D90" s="1" t="s">
        <v>118</v>
      </c>
      <c r="E90" s="1" t="s">
        <v>119</v>
      </c>
      <c r="F90" s="22" t="s">
        <v>2</v>
      </c>
      <c r="G90" s="22">
        <v>4</v>
      </c>
      <c r="H90" s="6">
        <f>AVERAGEIFS(t_input[priorité],t_input[code],t_input[[#This Row],[code]])</f>
        <v>3.6666666666666665</v>
      </c>
      <c r="I90" s="6">
        <f>IFERROR(INDEX(t_tools_feelings[coeff],MATCH(t_input[[#This Row],[feeling]],t_tools_feelings[feelings],0))/(t_input[[#This Row],[priorité]]*t_input[[#This Row],[priorité]]),0)</f>
        <v>6.25E-2</v>
      </c>
      <c r="J90" s="6">
        <f>SUMIFS(t_input[weight],t_input[code],t_input[[#This Row],[code]])</f>
        <v>0.35249999999999998</v>
      </c>
      <c r="K90" s="6">
        <f>SUM(t_input[sum_skill])</f>
        <v>127.10051888888896</v>
      </c>
      <c r="L90" s="7">
        <f>t_input[[#This Row],[sum_skill]]/t_input[[#This Row],[sum_module]]</f>
        <v>2.7733954438703343E-3</v>
      </c>
      <c r="M90" s="7">
        <f>SUMIFS(t_input[%obs],t_input[code],t_input[[#This Row],[code]])</f>
        <v>8.3201863316110028E-3</v>
      </c>
      <c r="N90" s="6" t="str">
        <f>IF(t_input[[#This Row],[%skill]]&gt;LARGE(t_tools_priorities[threshold],1),"Fondamentales",IF(t_input[[#This Row],[%skill]]&gt;LARGE(t_tools_priorities[threshold],2),"Secondaires","Accessoires"))</f>
        <v>Accessoires</v>
      </c>
    </row>
    <row r="91" spans="2:14" ht="30" x14ac:dyDescent="0.25">
      <c r="B91" s="1" t="s">
        <v>320</v>
      </c>
      <c r="C91" s="1" t="s">
        <v>117</v>
      </c>
      <c r="D91" s="1" t="s">
        <v>118</v>
      </c>
      <c r="E91" s="1" t="s">
        <v>376</v>
      </c>
      <c r="F91" s="22" t="s">
        <v>2</v>
      </c>
      <c r="G91" s="22">
        <v>5</v>
      </c>
      <c r="H91" s="6">
        <f>AVERAGEIFS(t_input[priorité],t_input[code],t_input[[#This Row],[code]])</f>
        <v>3.6666666666666665</v>
      </c>
      <c r="I91" s="6">
        <f>IFERROR(INDEX(t_tools_feelings[coeff],MATCH(t_input[[#This Row],[feeling]],t_tools_feelings[feelings],0))/(t_input[[#This Row],[priorité]]*t_input[[#This Row],[priorité]]),0)</f>
        <v>0.04</v>
      </c>
      <c r="J91" s="6">
        <f>SUMIFS(t_input[weight],t_input[code],t_input[[#This Row],[code]])</f>
        <v>0.35249999999999998</v>
      </c>
      <c r="K91" s="6">
        <f>SUM(t_input[sum_skill])</f>
        <v>127.10051888888896</v>
      </c>
      <c r="L91" s="7">
        <f>t_input[[#This Row],[sum_skill]]/t_input[[#This Row],[sum_module]]</f>
        <v>2.7733954438703343E-3</v>
      </c>
      <c r="M91" s="7">
        <f>SUMIFS(t_input[%obs],t_input[code],t_input[[#This Row],[code]])</f>
        <v>8.3201863316110028E-3</v>
      </c>
      <c r="N91" s="6" t="str">
        <f>IF(t_input[[#This Row],[%skill]]&gt;LARGE(t_tools_priorities[threshold],1),"Fondamentales",IF(t_input[[#This Row],[%skill]]&gt;LARGE(t_tools_priorities[threshold],2),"Secondaires","Accessoires"))</f>
        <v>Accessoires</v>
      </c>
    </row>
    <row r="92" spans="2:14" ht="30" x14ac:dyDescent="0.25">
      <c r="B92" s="1" t="s">
        <v>316</v>
      </c>
      <c r="C92" s="1" t="s">
        <v>104</v>
      </c>
      <c r="D92" s="1" t="s">
        <v>105</v>
      </c>
      <c r="E92" s="1" t="s">
        <v>371</v>
      </c>
      <c r="F92" s="22" t="s">
        <v>3</v>
      </c>
      <c r="G92" s="22">
        <v>3</v>
      </c>
      <c r="H92" s="6">
        <f>AVERAGEIFS(t_input[priorité],t_input[code],t_input[[#This Row],[code]])</f>
        <v>23.8</v>
      </c>
      <c r="I92" s="6">
        <f>IFERROR(INDEX(t_tools_feelings[coeff],MATCH(t_input[[#This Row],[feeling]],t_tools_feelings[feelings],0))/(t_input[[#This Row],[priorité]]*t_input[[#This Row],[priorité]]),0)</f>
        <v>1.1111111111111112E-2</v>
      </c>
      <c r="J92" s="6">
        <f>SUMIFS(t_input[weight],t_input[code],t_input[[#This Row],[code]])</f>
        <v>2.2926666666666668E-2</v>
      </c>
      <c r="K92" s="6">
        <f>SUM(t_input[sum_skill])</f>
        <v>127.10051888888896</v>
      </c>
      <c r="L92" s="7">
        <f>t_input[[#This Row],[sum_skill]]/t_input[[#This Row],[sum_module]]</f>
        <v>1.8038216418855943E-4</v>
      </c>
      <c r="M92" s="7">
        <f>SUMIFS(t_input[%obs],t_input[code],t_input[[#This Row],[code]])</f>
        <v>9.0191082094279716E-4</v>
      </c>
      <c r="N92" s="6" t="str">
        <f>IF(t_input[[#This Row],[%skill]]&gt;LARGE(t_tools_priorities[threshold],1),"Fondamentales",IF(t_input[[#This Row],[%skill]]&gt;LARGE(t_tools_priorities[threshold],2),"Secondaires","Accessoires"))</f>
        <v>Accessoires</v>
      </c>
    </row>
    <row r="93" spans="2:14" ht="30" x14ac:dyDescent="0.25">
      <c r="B93" s="1" t="s">
        <v>316</v>
      </c>
      <c r="C93" s="1" t="s">
        <v>104</v>
      </c>
      <c r="D93" s="1" t="s">
        <v>105</v>
      </c>
      <c r="E93" s="1" t="s">
        <v>106</v>
      </c>
      <c r="F93" s="22" t="s">
        <v>3</v>
      </c>
      <c r="G93" s="22">
        <v>4</v>
      </c>
      <c r="H93" s="6">
        <f>AVERAGEIFS(t_input[priorité],t_input[code],t_input[[#This Row],[code]])</f>
        <v>23.8</v>
      </c>
      <c r="I93" s="6">
        <f>IFERROR(INDEX(t_tools_feelings[coeff],MATCH(t_input[[#This Row],[feeling]],t_tools_feelings[feelings],0))/(t_input[[#This Row],[priorité]]*t_input[[#This Row],[priorité]]),0)</f>
        <v>6.2500000000000003E-3</v>
      </c>
      <c r="J93" s="6">
        <f>SUMIFS(t_input[weight],t_input[code],t_input[[#This Row],[code]])</f>
        <v>2.2926666666666668E-2</v>
      </c>
      <c r="K93" s="6">
        <f>SUM(t_input[sum_skill])</f>
        <v>127.10051888888896</v>
      </c>
      <c r="L93" s="7">
        <f>t_input[[#This Row],[sum_skill]]/t_input[[#This Row],[sum_module]]</f>
        <v>1.8038216418855943E-4</v>
      </c>
      <c r="M93" s="7">
        <f>SUMIFS(t_input[%obs],t_input[code],t_input[[#This Row],[code]])</f>
        <v>9.0191082094279716E-4</v>
      </c>
      <c r="N93" s="6" t="str">
        <f>IF(t_input[[#This Row],[%skill]]&gt;LARGE(t_tools_priorities[threshold],1),"Fondamentales",IF(t_input[[#This Row],[%skill]]&gt;LARGE(t_tools_priorities[threshold],2),"Secondaires","Accessoires"))</f>
        <v>Accessoires</v>
      </c>
    </row>
    <row r="94" spans="2:14" ht="30" x14ac:dyDescent="0.25">
      <c r="B94" s="1" t="s">
        <v>316</v>
      </c>
      <c r="C94" s="1" t="s">
        <v>104</v>
      </c>
      <c r="D94" s="1" t="s">
        <v>387</v>
      </c>
      <c r="E94" s="1" t="s">
        <v>388</v>
      </c>
      <c r="F94" s="22" t="s">
        <v>3</v>
      </c>
      <c r="G94" s="22">
        <v>6</v>
      </c>
      <c r="H94" s="6">
        <f>AVERAGEIFS(t_input[priorité],t_input[code],t_input[[#This Row],[code]])</f>
        <v>23.8</v>
      </c>
      <c r="I94" s="6">
        <f>IFERROR(INDEX(t_tools_feelings[coeff],MATCH(t_input[[#This Row],[feeling]],t_tools_feelings[feelings],0))/(t_input[[#This Row],[priorité]]*t_input[[#This Row],[priorité]]),0)</f>
        <v>2.7777777777777779E-3</v>
      </c>
      <c r="J94" s="6">
        <f>SUMIFS(t_input[weight],t_input[code],t_input[[#This Row],[code]])</f>
        <v>2.2926666666666668E-2</v>
      </c>
      <c r="K94" s="6">
        <f>SUM(t_input[sum_skill])</f>
        <v>127.10051888888896</v>
      </c>
      <c r="L94" s="7">
        <f>t_input[[#This Row],[sum_skill]]/t_input[[#This Row],[sum_module]]</f>
        <v>1.8038216418855943E-4</v>
      </c>
      <c r="M94" s="7">
        <f>SUMIFS(t_input[%obs],t_input[code],t_input[[#This Row],[code]])</f>
        <v>9.0191082094279716E-4</v>
      </c>
      <c r="N94" s="6" t="str">
        <f>IF(t_input[[#This Row],[%skill]]&gt;LARGE(t_tools_priorities[threshold],1),"Fondamentales",IF(t_input[[#This Row],[%skill]]&gt;LARGE(t_tools_priorities[threshold],2),"Secondaires","Accessoires"))</f>
        <v>Accessoires</v>
      </c>
    </row>
    <row r="95" spans="2:14" ht="30" x14ac:dyDescent="0.25">
      <c r="B95" s="1" t="s">
        <v>316</v>
      </c>
      <c r="C95" s="1" t="s">
        <v>104</v>
      </c>
      <c r="D95" s="1" t="s">
        <v>105</v>
      </c>
      <c r="E95" s="1" t="s">
        <v>389</v>
      </c>
      <c r="F95" s="22" t="s">
        <v>3</v>
      </c>
      <c r="G95" s="22">
        <v>6</v>
      </c>
      <c r="H95" s="6">
        <f>AVERAGEIFS(t_input[priorité],t_input[code],t_input[[#This Row],[code]])</f>
        <v>23.8</v>
      </c>
      <c r="I95" s="6">
        <f>IFERROR(INDEX(t_tools_feelings[coeff],MATCH(t_input[[#This Row],[feeling]],t_tools_feelings[feelings],0))/(t_input[[#This Row],[priorité]]*t_input[[#This Row],[priorité]]),0)</f>
        <v>2.7777777777777779E-3</v>
      </c>
      <c r="J95" s="6">
        <f>SUMIFS(t_input[weight],t_input[code],t_input[[#This Row],[code]])</f>
        <v>2.2926666666666668E-2</v>
      </c>
      <c r="K95" s="6">
        <f>SUM(t_input[sum_skill])</f>
        <v>127.10051888888896</v>
      </c>
      <c r="L95" s="7">
        <f>t_input[[#This Row],[sum_skill]]/t_input[[#This Row],[sum_module]]</f>
        <v>1.8038216418855943E-4</v>
      </c>
      <c r="M95" s="7">
        <f>SUMIFS(t_input[%obs],t_input[code],t_input[[#This Row],[code]])</f>
        <v>9.0191082094279716E-4</v>
      </c>
      <c r="N95" s="6" t="str">
        <f>IF(t_input[[#This Row],[%skill]]&gt;LARGE(t_tools_priorities[threshold],1),"Fondamentales",IF(t_input[[#This Row],[%skill]]&gt;LARGE(t_tools_priorities[threshold],2),"Secondaires","Accessoires"))</f>
        <v>Accessoires</v>
      </c>
    </row>
    <row r="96" spans="2:14" ht="30" x14ac:dyDescent="0.25">
      <c r="B96" s="1" t="s">
        <v>316</v>
      </c>
      <c r="C96" s="1" t="s">
        <v>104</v>
      </c>
      <c r="D96" s="1" t="s">
        <v>105</v>
      </c>
      <c r="E96" s="1" t="s">
        <v>391</v>
      </c>
      <c r="F96" s="22" t="s">
        <v>3</v>
      </c>
      <c r="G96" s="22">
        <v>100</v>
      </c>
      <c r="H96" s="6">
        <f>AVERAGEIFS(t_input[priorité],t_input[code],t_input[[#This Row],[code]])</f>
        <v>23.8</v>
      </c>
      <c r="I96" s="6">
        <f>IFERROR(INDEX(t_tools_feelings[coeff],MATCH(t_input[[#This Row],[feeling]],t_tools_feelings[feelings],0))/(t_input[[#This Row],[priorité]]*t_input[[#This Row],[priorité]]),0)</f>
        <v>1.0000000000000001E-5</v>
      </c>
      <c r="J96" s="6">
        <f>SUMIFS(t_input[weight],t_input[code],t_input[[#This Row],[code]])</f>
        <v>2.2926666666666668E-2</v>
      </c>
      <c r="K96" s="6">
        <f>SUM(t_input[sum_skill])</f>
        <v>127.10051888888896</v>
      </c>
      <c r="L96" s="7">
        <f>t_input[[#This Row],[sum_skill]]/t_input[[#This Row],[sum_module]]</f>
        <v>1.8038216418855943E-4</v>
      </c>
      <c r="M96" s="7">
        <f>SUMIFS(t_input[%obs],t_input[code],t_input[[#This Row],[code]])</f>
        <v>9.0191082094279716E-4</v>
      </c>
      <c r="N96" s="6" t="str">
        <f>IF(t_input[[#This Row],[%skill]]&gt;LARGE(t_tools_priorities[threshold],1),"Fondamentales",IF(t_input[[#This Row],[%skill]]&gt;LARGE(t_tools_priorities[threshold],2),"Secondaires","Accessoires"))</f>
        <v>Accessoires</v>
      </c>
    </row>
    <row r="97" spans="2:14" ht="30" x14ac:dyDescent="0.25">
      <c r="B97" s="1" t="s">
        <v>282</v>
      </c>
      <c r="C97" s="1" t="s">
        <v>76</v>
      </c>
      <c r="D97" s="1" t="s">
        <v>77</v>
      </c>
      <c r="E97" s="1" t="s">
        <v>78</v>
      </c>
      <c r="F97" s="22" t="s">
        <v>2</v>
      </c>
      <c r="G97" s="22">
        <v>4</v>
      </c>
      <c r="H97" s="6">
        <f>AVERAGEIFS(t_input[priorité],t_input[code],t_input[[#This Row],[code]])</f>
        <v>4.666666666666667</v>
      </c>
      <c r="I97" s="6">
        <f>IFERROR(INDEX(t_tools_feelings[coeff],MATCH(t_input[[#This Row],[feeling]],t_tools_feelings[feelings],0))/(t_input[[#This Row],[priorité]]*t_input[[#This Row],[priorité]]),0)</f>
        <v>6.25E-2</v>
      </c>
      <c r="J97" s="6">
        <f>SUMIFS(t_input[weight],t_input[code],t_input[[#This Row],[code]])</f>
        <v>0.14250000000000002</v>
      </c>
      <c r="K97" s="6">
        <f>SUM(t_input[sum_skill])</f>
        <v>127.10051888888896</v>
      </c>
      <c r="L97" s="7">
        <f>t_input[[#This Row],[sum_skill]]/t_input[[#This Row],[sum_module]]</f>
        <v>1.1211598602880075E-3</v>
      </c>
      <c r="M97" s="7">
        <f>SUMIFS(t_input[%obs],t_input[code],t_input[[#This Row],[code]])</f>
        <v>3.3634795808640226E-3</v>
      </c>
      <c r="N97" s="6" t="str">
        <f>IF(t_input[[#This Row],[%skill]]&gt;LARGE(t_tools_priorities[threshold],1),"Fondamentales",IF(t_input[[#This Row],[%skill]]&gt;LARGE(t_tools_priorities[threshold],2),"Secondaires","Accessoires"))</f>
        <v>Accessoires</v>
      </c>
    </row>
    <row r="98" spans="2:14" ht="30" x14ac:dyDescent="0.25">
      <c r="B98" s="1" t="s">
        <v>282</v>
      </c>
      <c r="C98" s="1" t="s">
        <v>76</v>
      </c>
      <c r="D98" s="1" t="s">
        <v>77</v>
      </c>
      <c r="E98" s="1" t="s">
        <v>79</v>
      </c>
      <c r="F98" s="22" t="s">
        <v>2</v>
      </c>
      <c r="G98" s="22">
        <v>5</v>
      </c>
      <c r="H98" s="6">
        <f>AVERAGEIFS(t_input[priorité],t_input[code],t_input[[#This Row],[code]])</f>
        <v>4.666666666666667</v>
      </c>
      <c r="I98" s="6">
        <f>IFERROR(INDEX(t_tools_feelings[coeff],MATCH(t_input[[#This Row],[feeling]],t_tools_feelings[feelings],0))/(t_input[[#This Row],[priorité]]*t_input[[#This Row],[priorité]]),0)</f>
        <v>0.04</v>
      </c>
      <c r="J98" s="6">
        <f>SUMIFS(t_input[weight],t_input[code],t_input[[#This Row],[code]])</f>
        <v>0.14250000000000002</v>
      </c>
      <c r="K98" s="6">
        <f>SUM(t_input[sum_skill])</f>
        <v>127.10051888888896</v>
      </c>
      <c r="L98" s="7">
        <f>t_input[[#This Row],[sum_skill]]/t_input[[#This Row],[sum_module]]</f>
        <v>1.1211598602880075E-3</v>
      </c>
      <c r="M98" s="7">
        <f>SUMIFS(t_input[%obs],t_input[code],t_input[[#This Row],[code]])</f>
        <v>3.3634795808640226E-3</v>
      </c>
      <c r="N98" s="6" t="str">
        <f>IF(t_input[[#This Row],[%skill]]&gt;LARGE(t_tools_priorities[threshold],1),"Fondamentales",IF(t_input[[#This Row],[%skill]]&gt;LARGE(t_tools_priorities[threshold],2),"Secondaires","Accessoires"))</f>
        <v>Accessoires</v>
      </c>
    </row>
    <row r="99" spans="2:14" ht="30" x14ac:dyDescent="0.25">
      <c r="B99" s="1" t="s">
        <v>282</v>
      </c>
      <c r="C99" s="1" t="s">
        <v>76</v>
      </c>
      <c r="D99" s="1" t="s">
        <v>77</v>
      </c>
      <c r="E99" s="1" t="s">
        <v>80</v>
      </c>
      <c r="F99" s="22" t="s">
        <v>2</v>
      </c>
      <c r="G99" s="22">
        <v>5</v>
      </c>
      <c r="H99" s="6">
        <f>AVERAGEIFS(t_input[priorité],t_input[code],t_input[[#This Row],[code]])</f>
        <v>4.666666666666667</v>
      </c>
      <c r="I99" s="6">
        <f>IFERROR(INDEX(t_tools_feelings[coeff],MATCH(t_input[[#This Row],[feeling]],t_tools_feelings[feelings],0))/(t_input[[#This Row],[priorité]]*t_input[[#This Row],[priorité]]),0)</f>
        <v>0.04</v>
      </c>
      <c r="J99" s="6">
        <f>SUMIFS(t_input[weight],t_input[code],t_input[[#This Row],[code]])</f>
        <v>0.14250000000000002</v>
      </c>
      <c r="K99" s="6">
        <f>SUM(t_input[sum_skill])</f>
        <v>127.10051888888896</v>
      </c>
      <c r="L99" s="7">
        <f>t_input[[#This Row],[sum_skill]]/t_input[[#This Row],[sum_module]]</f>
        <v>1.1211598602880075E-3</v>
      </c>
      <c r="M99" s="7">
        <f>SUMIFS(t_input[%obs],t_input[code],t_input[[#This Row],[code]])</f>
        <v>3.3634795808640226E-3</v>
      </c>
      <c r="N99" s="6" t="str">
        <f>IF(t_input[[#This Row],[%skill]]&gt;LARGE(t_tools_priorities[threshold],1),"Fondamentales",IF(t_input[[#This Row],[%skill]]&gt;LARGE(t_tools_priorities[threshold],2),"Secondaires","Accessoires"))</f>
        <v>Accessoires</v>
      </c>
    </row>
    <row r="100" spans="2:14" ht="30" x14ac:dyDescent="0.25">
      <c r="B100" s="1" t="s">
        <v>256</v>
      </c>
      <c r="C100" s="1" t="s">
        <v>70</v>
      </c>
      <c r="D100" s="1" t="s">
        <v>71</v>
      </c>
      <c r="E100" s="1" t="s">
        <v>96</v>
      </c>
      <c r="F100" s="22" t="s">
        <v>2</v>
      </c>
      <c r="G100" s="22">
        <v>2</v>
      </c>
      <c r="H100" s="6">
        <f>AVERAGEIFS(t_input[priorité],t_input[code],t_input[[#This Row],[code]])</f>
        <v>4</v>
      </c>
      <c r="I100" s="6">
        <f>IFERROR(INDEX(t_tools_feelings[coeff],MATCH(t_input[[#This Row],[feeling]],t_tools_feelings[feelings],0))/(t_input[[#This Row],[priorité]]*t_input[[#This Row],[priorité]]),0)</f>
        <v>0.25</v>
      </c>
      <c r="J100" s="6">
        <f>SUMIFS(t_input[weight],t_input[code],t_input[[#This Row],[code]])</f>
        <v>0.27777777777777779</v>
      </c>
      <c r="K100" s="6">
        <f>SUM(t_input[sum_skill])</f>
        <v>127.10051888888896</v>
      </c>
      <c r="L100" s="7">
        <f>t_input[[#This Row],[sum_skill]]/t_input[[#This Row],[sum_module]]</f>
        <v>2.1854968036803266E-3</v>
      </c>
      <c r="M100" s="7">
        <f>SUMIFS(t_input[%obs],t_input[code],t_input[[#This Row],[code]])</f>
        <v>4.3709936073606532E-3</v>
      </c>
      <c r="N100" s="6" t="str">
        <f>IF(t_input[[#This Row],[%skill]]&gt;LARGE(t_tools_priorities[threshold],1),"Fondamentales",IF(t_input[[#This Row],[%skill]]&gt;LARGE(t_tools_priorities[threshold],2),"Secondaires","Accessoires"))</f>
        <v>Accessoires</v>
      </c>
    </row>
    <row r="101" spans="2:14" ht="30" x14ac:dyDescent="0.25">
      <c r="B101" s="1" t="s">
        <v>256</v>
      </c>
      <c r="C101" s="1" t="s">
        <v>70</v>
      </c>
      <c r="D101" s="1" t="s">
        <v>71</v>
      </c>
      <c r="E101" s="1" t="s">
        <v>72</v>
      </c>
      <c r="F101" s="22" t="s">
        <v>2</v>
      </c>
      <c r="G101" s="22">
        <v>6</v>
      </c>
      <c r="H101" s="6">
        <f>AVERAGEIFS(t_input[priorité],t_input[code],t_input[[#This Row],[code]])</f>
        <v>4</v>
      </c>
      <c r="I101" s="6">
        <f>IFERROR(INDEX(t_tools_feelings[coeff],MATCH(t_input[[#This Row],[feeling]],t_tools_feelings[feelings],0))/(t_input[[#This Row],[priorité]]*t_input[[#This Row],[priorité]]),0)</f>
        <v>2.7777777777777776E-2</v>
      </c>
      <c r="J101" s="6">
        <f>SUMIFS(t_input[weight],t_input[code],t_input[[#This Row],[code]])</f>
        <v>0.27777777777777779</v>
      </c>
      <c r="K101" s="6">
        <f>SUM(t_input[sum_skill])</f>
        <v>127.10051888888896</v>
      </c>
      <c r="L101" s="7">
        <f>t_input[[#This Row],[sum_skill]]/t_input[[#This Row],[sum_module]]</f>
        <v>2.1854968036803266E-3</v>
      </c>
      <c r="M101" s="7">
        <f>SUMIFS(t_input[%obs],t_input[code],t_input[[#This Row],[code]])</f>
        <v>4.3709936073606532E-3</v>
      </c>
      <c r="N101" s="6" t="str">
        <f>IF(t_input[[#This Row],[%skill]]&gt;LARGE(t_tools_priorities[threshold],1),"Fondamentales",IF(t_input[[#This Row],[%skill]]&gt;LARGE(t_tools_priorities[threshold],2),"Secondaires","Accessoires"))</f>
        <v>Accessoires</v>
      </c>
    </row>
    <row r="102" spans="2:14" ht="30" x14ac:dyDescent="0.25">
      <c r="B102" s="1" t="s">
        <v>283</v>
      </c>
      <c r="C102" s="1" t="s">
        <v>38</v>
      </c>
      <c r="D102" s="1" t="s">
        <v>39</v>
      </c>
      <c r="E102" s="1" t="s">
        <v>40</v>
      </c>
      <c r="F102" s="22" t="s">
        <v>2</v>
      </c>
      <c r="G102" s="22">
        <v>3</v>
      </c>
      <c r="H102" s="6">
        <f>AVERAGEIFS(t_input[priorité],t_input[code],t_input[[#This Row],[code]])</f>
        <v>3.5</v>
      </c>
      <c r="I102" s="6">
        <f>IFERROR(INDEX(t_tools_feelings[coeff],MATCH(t_input[[#This Row],[feeling]],t_tools_feelings[feelings],0))/(t_input[[#This Row],[priorité]]*t_input[[#This Row],[priorité]]),0)</f>
        <v>0.1111111111111111</v>
      </c>
      <c r="J102" s="6">
        <f>SUMIFS(t_input[weight],t_input[code],t_input[[#This Row],[code]])</f>
        <v>0.11736111111111111</v>
      </c>
      <c r="K102" s="6">
        <f>SUM(t_input[sum_skill])</f>
        <v>127.10051888888896</v>
      </c>
      <c r="L102" s="7">
        <f>t_input[[#This Row],[sum_skill]]/t_input[[#This Row],[sum_module]]</f>
        <v>9.2337239955493796E-4</v>
      </c>
      <c r="M102" s="7">
        <f>SUMIFS(t_input[%obs],t_input[code],t_input[[#This Row],[code]])</f>
        <v>1.8467447991098759E-3</v>
      </c>
      <c r="N102" s="6" t="str">
        <f>IF(t_input[[#This Row],[%skill]]&gt;LARGE(t_tools_priorities[threshold],1),"Fondamentales",IF(t_input[[#This Row],[%skill]]&gt;LARGE(t_tools_priorities[threshold],2),"Secondaires","Accessoires"))</f>
        <v>Accessoires</v>
      </c>
    </row>
    <row r="103" spans="2:14" ht="30" x14ac:dyDescent="0.25">
      <c r="B103" s="1" t="s">
        <v>283</v>
      </c>
      <c r="C103" s="1" t="s">
        <v>38</v>
      </c>
      <c r="D103" s="1" t="s">
        <v>39</v>
      </c>
      <c r="E103" s="1" t="s">
        <v>138</v>
      </c>
      <c r="F103" s="22" t="s">
        <v>3</v>
      </c>
      <c r="G103" s="22">
        <v>4</v>
      </c>
      <c r="H103" s="6">
        <f>AVERAGEIFS(t_input[priorité],t_input[code],t_input[[#This Row],[code]])</f>
        <v>3.5</v>
      </c>
      <c r="I103" s="6">
        <f>IFERROR(INDEX(t_tools_feelings[coeff],MATCH(t_input[[#This Row],[feeling]],t_tools_feelings[feelings],0))/(t_input[[#This Row],[priorité]]*t_input[[#This Row],[priorité]]),0)</f>
        <v>6.2500000000000003E-3</v>
      </c>
      <c r="J103" s="6">
        <f>SUMIFS(t_input[weight],t_input[code],t_input[[#This Row],[code]])</f>
        <v>0.11736111111111111</v>
      </c>
      <c r="K103" s="6">
        <f>SUM(t_input[sum_skill])</f>
        <v>127.10051888888896</v>
      </c>
      <c r="L103" s="7">
        <f>t_input[[#This Row],[sum_skill]]/t_input[[#This Row],[sum_module]]</f>
        <v>9.2337239955493796E-4</v>
      </c>
      <c r="M103" s="7">
        <f>SUMIFS(t_input[%obs],t_input[code],t_input[[#This Row],[code]])</f>
        <v>1.8467447991098759E-3</v>
      </c>
      <c r="N103" s="6" t="str">
        <f>IF(t_input[[#This Row],[%skill]]&gt;LARGE(t_tools_priorities[threshold],1),"Fondamentales",IF(t_input[[#This Row],[%skill]]&gt;LARGE(t_tools_priorities[threshold],2),"Secondaires","Accessoires"))</f>
        <v>Accessoires</v>
      </c>
    </row>
    <row r="104" spans="2:14" ht="30" x14ac:dyDescent="0.25">
      <c r="B104" s="1" t="s">
        <v>241</v>
      </c>
      <c r="C104" s="1" t="s">
        <v>125</v>
      </c>
      <c r="D104" s="1" t="s">
        <v>126</v>
      </c>
      <c r="E104" s="1" t="s">
        <v>127</v>
      </c>
      <c r="F104" s="22" t="s">
        <v>2</v>
      </c>
      <c r="G104" s="22">
        <v>4</v>
      </c>
      <c r="H104" s="6">
        <f>AVERAGEIFS(t_input[priorité],t_input[code],t_input[[#This Row],[code]])</f>
        <v>4.5</v>
      </c>
      <c r="I104" s="6">
        <f>IFERROR(INDEX(t_tools_feelings[coeff],MATCH(t_input[[#This Row],[feeling]],t_tools_feelings[feelings],0))/(t_input[[#This Row],[priorité]]*t_input[[#This Row],[priorité]]),0)</f>
        <v>6.25E-2</v>
      </c>
      <c r="J104" s="6">
        <f>SUMIFS(t_input[weight],t_input[code],t_input[[#This Row],[code]])</f>
        <v>0.10250000000000001</v>
      </c>
      <c r="K104" s="6">
        <f>SUM(t_input[sum_skill])</f>
        <v>127.10051888888896</v>
      </c>
      <c r="L104" s="7">
        <f>t_input[[#This Row],[sum_skill]]/t_input[[#This Row],[sum_module]]</f>
        <v>8.0644832055804059E-4</v>
      </c>
      <c r="M104" s="7">
        <f>SUMIFS(t_input[%obs],t_input[code],t_input[[#This Row],[code]])</f>
        <v>1.6128966411160812E-3</v>
      </c>
      <c r="N104" s="6" t="str">
        <f>IF(t_input[[#This Row],[%skill]]&gt;LARGE(t_tools_priorities[threshold],1),"Fondamentales",IF(t_input[[#This Row],[%skill]]&gt;LARGE(t_tools_priorities[threshold],2),"Secondaires","Accessoires"))</f>
        <v>Accessoires</v>
      </c>
    </row>
    <row r="105" spans="2:14" ht="30" x14ac:dyDescent="0.25">
      <c r="B105" s="1" t="s">
        <v>241</v>
      </c>
      <c r="C105" s="1" t="s">
        <v>125</v>
      </c>
      <c r="D105" s="1" t="s">
        <v>126</v>
      </c>
      <c r="E105" s="1" t="s">
        <v>378</v>
      </c>
      <c r="F105" s="22" t="s">
        <v>2</v>
      </c>
      <c r="G105" s="22">
        <v>5</v>
      </c>
      <c r="H105" s="6">
        <f>AVERAGEIFS(t_input[priorité],t_input[code],t_input[[#This Row],[code]])</f>
        <v>4.5</v>
      </c>
      <c r="I105" s="6">
        <f>IFERROR(INDEX(t_tools_feelings[coeff],MATCH(t_input[[#This Row],[feeling]],t_tools_feelings[feelings],0))/(t_input[[#This Row],[priorité]]*t_input[[#This Row],[priorité]]),0)</f>
        <v>0.04</v>
      </c>
      <c r="J105" s="6">
        <f>SUMIFS(t_input[weight],t_input[code],t_input[[#This Row],[code]])</f>
        <v>0.10250000000000001</v>
      </c>
      <c r="K105" s="6">
        <f>SUM(t_input[sum_skill])</f>
        <v>127.10051888888896</v>
      </c>
      <c r="L105" s="7">
        <f>t_input[[#This Row],[sum_skill]]/t_input[[#This Row],[sum_module]]</f>
        <v>8.0644832055804059E-4</v>
      </c>
      <c r="M105" s="7">
        <f>SUMIFS(t_input[%obs],t_input[code],t_input[[#This Row],[code]])</f>
        <v>1.6128966411160812E-3</v>
      </c>
      <c r="N105" s="6" t="str">
        <f>IF(t_input[[#This Row],[%skill]]&gt;LARGE(t_tools_priorities[threshold],1),"Fondamentales",IF(t_input[[#This Row],[%skill]]&gt;LARGE(t_tools_priorities[threshold],2),"Secondaires","Accessoires"))</f>
        <v>Accessoires</v>
      </c>
    </row>
    <row r="106" spans="2:14" ht="30" x14ac:dyDescent="0.25">
      <c r="B106" s="1" t="s">
        <v>295</v>
      </c>
      <c r="C106" s="1" t="s">
        <v>25</v>
      </c>
      <c r="D106" s="1" t="s">
        <v>26</v>
      </c>
      <c r="E106" s="1" t="s">
        <v>382</v>
      </c>
      <c r="F106" s="22" t="s">
        <v>2</v>
      </c>
      <c r="G106" s="22">
        <v>6</v>
      </c>
      <c r="H106" s="6">
        <f>AVERAGEIFS(t_input[priorité],t_input[code],t_input[[#This Row],[code]])</f>
        <v>68.666666666666671</v>
      </c>
      <c r="I106" s="6">
        <f>IFERROR(INDEX(t_tools_feelings[coeff],MATCH(t_input[[#This Row],[feeling]],t_tools_feelings[feelings],0))/(t_input[[#This Row],[priorité]]*t_input[[#This Row],[priorité]]),0)</f>
        <v>2.7777777777777776E-2</v>
      </c>
      <c r="J106" s="6">
        <f>SUMIFS(t_input[weight],t_input[code],t_input[[#This Row],[code]])</f>
        <v>2.7977777777777775E-2</v>
      </c>
      <c r="K106" s="6">
        <f>SUM(t_input[sum_skill])</f>
        <v>127.10051888888896</v>
      </c>
      <c r="L106" s="7">
        <f>t_input[[#This Row],[sum_skill]]/t_input[[#This Row],[sum_module]]</f>
        <v>2.2012323806668246E-4</v>
      </c>
      <c r="M106" s="7">
        <f>SUMIFS(t_input[%obs],t_input[code],t_input[[#This Row],[code]])</f>
        <v>6.6036971420004736E-4</v>
      </c>
      <c r="N106" s="6" t="str">
        <f>IF(t_input[[#This Row],[%skill]]&gt;LARGE(t_tools_priorities[threshold],1),"Fondamentales",IF(t_input[[#This Row],[%skill]]&gt;LARGE(t_tools_priorities[threshold],2),"Secondaires","Accessoires"))</f>
        <v>Accessoires</v>
      </c>
    </row>
    <row r="107" spans="2:14" ht="45" x14ac:dyDescent="0.25">
      <c r="B107" s="1" t="s">
        <v>295</v>
      </c>
      <c r="C107" s="1" t="s">
        <v>25</v>
      </c>
      <c r="D107" s="1" t="s">
        <v>26</v>
      </c>
      <c r="E107" s="1" t="s">
        <v>27</v>
      </c>
      <c r="F107" s="22" t="s">
        <v>2</v>
      </c>
      <c r="G107" s="22">
        <v>100</v>
      </c>
      <c r="H107" s="6">
        <f>AVERAGEIFS(t_input[priorité],t_input[code],t_input[[#This Row],[code]])</f>
        <v>68.666666666666671</v>
      </c>
      <c r="I107" s="6">
        <f>IFERROR(INDEX(t_tools_feelings[coeff],MATCH(t_input[[#This Row],[feeling]],t_tools_feelings[feelings],0))/(t_input[[#This Row],[priorité]]*t_input[[#This Row],[priorité]]),0)</f>
        <v>1E-4</v>
      </c>
      <c r="J107" s="6">
        <f>SUMIFS(t_input[weight],t_input[code],t_input[[#This Row],[code]])</f>
        <v>2.7977777777777775E-2</v>
      </c>
      <c r="K107" s="6">
        <f>SUM(t_input[sum_skill])</f>
        <v>127.10051888888896</v>
      </c>
      <c r="L107" s="7">
        <f>t_input[[#This Row],[sum_skill]]/t_input[[#This Row],[sum_module]]</f>
        <v>2.2012323806668246E-4</v>
      </c>
      <c r="M107" s="7">
        <f>SUMIFS(t_input[%obs],t_input[code],t_input[[#This Row],[code]])</f>
        <v>6.6036971420004736E-4</v>
      </c>
      <c r="N107" s="6" t="str">
        <f>IF(t_input[[#This Row],[%skill]]&gt;LARGE(t_tools_priorities[threshold],1),"Fondamentales",IF(t_input[[#This Row],[%skill]]&gt;LARGE(t_tools_priorities[threshold],2),"Secondaires","Accessoires"))</f>
        <v>Accessoires</v>
      </c>
    </row>
    <row r="108" spans="2:14" ht="30" x14ac:dyDescent="0.25">
      <c r="B108" s="1" t="s">
        <v>295</v>
      </c>
      <c r="C108" s="1" t="s">
        <v>25</v>
      </c>
      <c r="D108" s="1" t="s">
        <v>26</v>
      </c>
      <c r="E108" s="1" t="s">
        <v>390</v>
      </c>
      <c r="F108" s="22" t="s">
        <v>2</v>
      </c>
      <c r="G108" s="22">
        <v>100</v>
      </c>
      <c r="H108" s="6">
        <f>AVERAGEIFS(t_input[priorité],t_input[code],t_input[[#This Row],[code]])</f>
        <v>68.666666666666671</v>
      </c>
      <c r="I108" s="6">
        <f>IFERROR(INDEX(t_tools_feelings[coeff],MATCH(t_input[[#This Row],[feeling]],t_tools_feelings[feelings],0))/(t_input[[#This Row],[priorité]]*t_input[[#This Row],[priorité]]),0)</f>
        <v>1E-4</v>
      </c>
      <c r="J108" s="6">
        <f>SUMIFS(t_input[weight],t_input[code],t_input[[#This Row],[code]])</f>
        <v>2.7977777777777775E-2</v>
      </c>
      <c r="K108" s="6">
        <f>SUM(t_input[sum_skill])</f>
        <v>127.10051888888896</v>
      </c>
      <c r="L108" s="7">
        <f>t_input[[#This Row],[sum_skill]]/t_input[[#This Row],[sum_module]]</f>
        <v>2.2012323806668246E-4</v>
      </c>
      <c r="M108" s="7">
        <f>SUMIFS(t_input[%obs],t_input[code],t_input[[#This Row],[code]])</f>
        <v>6.6036971420004736E-4</v>
      </c>
      <c r="N108" s="6" t="str">
        <f>IF(t_input[[#This Row],[%skill]]&gt;LARGE(t_tools_priorities[threshold],1),"Fondamentales",IF(t_input[[#This Row],[%skill]]&gt;LARGE(t_tools_priorities[threshold],2),"Secondaires","Accessoires"))</f>
        <v>Accessoires</v>
      </c>
    </row>
    <row r="109" spans="2:14" ht="30" x14ac:dyDescent="0.25">
      <c r="B109" s="1" t="s">
        <v>231</v>
      </c>
      <c r="C109" s="1" t="s">
        <v>16</v>
      </c>
      <c r="D109" s="1" t="s">
        <v>17</v>
      </c>
      <c r="E109" s="1" t="s">
        <v>130</v>
      </c>
      <c r="F109" s="22" t="s">
        <v>3</v>
      </c>
      <c r="G109" s="22">
        <v>100</v>
      </c>
      <c r="H109" s="6">
        <f>AVERAGEIFS(t_input[priorité],t_input[code],t_input[[#This Row],[code]])</f>
        <v>100</v>
      </c>
      <c r="I109" s="6">
        <f>IFERROR(INDEX(t_tools_feelings[coeff],MATCH(t_input[[#This Row],[feeling]],t_tools_feelings[feelings],0))/(t_input[[#This Row],[priorité]]*t_input[[#This Row],[priorité]]),0)</f>
        <v>1.0000000000000001E-5</v>
      </c>
      <c r="J109" s="6">
        <f>SUMIFS(t_input[weight],t_input[code],t_input[[#This Row],[code]])</f>
        <v>4.2000000000000002E-4</v>
      </c>
      <c r="K109" s="6">
        <f>SUM(t_input[sum_skill])</f>
        <v>127.10051888888896</v>
      </c>
      <c r="L109" s="7">
        <f>t_input[[#This Row],[sum_skill]]/t_input[[#This Row],[sum_module]]</f>
        <v>3.3044711671646539E-6</v>
      </c>
      <c r="M109" s="7">
        <f>SUMIFS(t_input[%obs],t_input[code],t_input[[#This Row],[code]])</f>
        <v>1.9826827002987924E-5</v>
      </c>
      <c r="N109" s="6" t="str">
        <f>IF(t_input[[#This Row],[%skill]]&gt;LARGE(t_tools_priorities[threshold],1),"Fondamentales",IF(t_input[[#This Row],[%skill]]&gt;LARGE(t_tools_priorities[threshold],2),"Secondaires","Accessoires"))</f>
        <v>Accessoires</v>
      </c>
    </row>
    <row r="110" spans="2:14" ht="30" x14ac:dyDescent="0.25">
      <c r="B110" s="1" t="s">
        <v>231</v>
      </c>
      <c r="C110" s="1" t="s">
        <v>16</v>
      </c>
      <c r="D110" s="1" t="s">
        <v>17</v>
      </c>
      <c r="E110" s="1" t="s">
        <v>131</v>
      </c>
      <c r="F110" s="22" t="s">
        <v>3</v>
      </c>
      <c r="G110" s="22">
        <v>100</v>
      </c>
      <c r="H110" s="6">
        <f>AVERAGEIFS(t_input[priorité],t_input[code],t_input[[#This Row],[code]])</f>
        <v>100</v>
      </c>
      <c r="I110" s="6">
        <f>IFERROR(INDEX(t_tools_feelings[coeff],MATCH(t_input[[#This Row],[feeling]],t_tools_feelings[feelings],0))/(t_input[[#This Row],[priorité]]*t_input[[#This Row],[priorité]]),0)</f>
        <v>1.0000000000000001E-5</v>
      </c>
      <c r="J110" s="6">
        <f>SUMIFS(t_input[weight],t_input[code],t_input[[#This Row],[code]])</f>
        <v>4.2000000000000002E-4</v>
      </c>
      <c r="K110" s="6">
        <f>SUM(t_input[sum_skill])</f>
        <v>127.10051888888896</v>
      </c>
      <c r="L110" s="7">
        <f>t_input[[#This Row],[sum_skill]]/t_input[[#This Row],[sum_module]]</f>
        <v>3.3044711671646539E-6</v>
      </c>
      <c r="M110" s="7">
        <f>SUMIFS(t_input[%obs],t_input[code],t_input[[#This Row],[code]])</f>
        <v>1.9826827002987924E-5</v>
      </c>
      <c r="N110" s="6" t="str">
        <f>IF(t_input[[#This Row],[%skill]]&gt;LARGE(t_tools_priorities[threshold],1),"Fondamentales",IF(t_input[[#This Row],[%skill]]&gt;LARGE(t_tools_priorities[threshold],2),"Secondaires","Accessoires"))</f>
        <v>Accessoires</v>
      </c>
    </row>
    <row r="111" spans="2:14" ht="30" x14ac:dyDescent="0.25">
      <c r="B111" s="1" t="s">
        <v>231</v>
      </c>
      <c r="C111" s="1" t="s">
        <v>16</v>
      </c>
      <c r="D111" s="1" t="s">
        <v>17</v>
      </c>
      <c r="E111" s="1" t="s">
        <v>21</v>
      </c>
      <c r="F111" s="22" t="s">
        <v>2</v>
      </c>
      <c r="G111" s="22">
        <v>100</v>
      </c>
      <c r="H111" s="6">
        <f>AVERAGEIFS(t_input[priorité],t_input[code],t_input[[#This Row],[code]])</f>
        <v>100</v>
      </c>
      <c r="I111" s="6">
        <f>IFERROR(INDEX(t_tools_feelings[coeff],MATCH(t_input[[#This Row],[feeling]],t_tools_feelings[feelings],0))/(t_input[[#This Row],[priorité]]*t_input[[#This Row],[priorité]]),0)</f>
        <v>1E-4</v>
      </c>
      <c r="J111" s="6">
        <f>SUMIFS(t_input[weight],t_input[code],t_input[[#This Row],[code]])</f>
        <v>4.2000000000000002E-4</v>
      </c>
      <c r="K111" s="6">
        <f>SUM(t_input[sum_skill])</f>
        <v>127.10051888888896</v>
      </c>
      <c r="L111" s="7">
        <f>t_input[[#This Row],[sum_skill]]/t_input[[#This Row],[sum_module]]</f>
        <v>3.3044711671646539E-6</v>
      </c>
      <c r="M111" s="7">
        <f>SUMIFS(t_input[%obs],t_input[code],t_input[[#This Row],[code]])</f>
        <v>1.9826827002987924E-5</v>
      </c>
      <c r="N111" s="6" t="str">
        <f>IF(t_input[[#This Row],[%skill]]&gt;LARGE(t_tools_priorities[threshold],1),"Fondamentales",IF(t_input[[#This Row],[%skill]]&gt;LARGE(t_tools_priorities[threshold],2),"Secondaires","Accessoires"))</f>
        <v>Accessoires</v>
      </c>
    </row>
    <row r="112" spans="2:14" ht="30" x14ac:dyDescent="0.25">
      <c r="B112" s="1" t="s">
        <v>231</v>
      </c>
      <c r="C112" s="1" t="s">
        <v>16</v>
      </c>
      <c r="D112" s="1" t="s">
        <v>17</v>
      </c>
      <c r="E112" s="1" t="s">
        <v>22</v>
      </c>
      <c r="F112" s="22" t="s">
        <v>2</v>
      </c>
      <c r="G112" s="22">
        <v>100</v>
      </c>
      <c r="H112" s="6">
        <f>AVERAGEIFS(t_input[priorité],t_input[code],t_input[[#This Row],[code]])</f>
        <v>100</v>
      </c>
      <c r="I112" s="6">
        <f>IFERROR(INDEX(t_tools_feelings[coeff],MATCH(t_input[[#This Row],[feeling]],t_tools_feelings[feelings],0))/(t_input[[#This Row],[priorité]]*t_input[[#This Row],[priorité]]),0)</f>
        <v>1E-4</v>
      </c>
      <c r="J112" s="6">
        <f>SUMIFS(t_input[weight],t_input[code],t_input[[#This Row],[code]])</f>
        <v>4.2000000000000002E-4</v>
      </c>
      <c r="K112" s="6">
        <f>SUM(t_input[sum_skill])</f>
        <v>127.10051888888896</v>
      </c>
      <c r="L112" s="7">
        <f>t_input[[#This Row],[sum_skill]]/t_input[[#This Row],[sum_module]]</f>
        <v>3.3044711671646539E-6</v>
      </c>
      <c r="M112" s="7">
        <f>SUMIFS(t_input[%obs],t_input[code],t_input[[#This Row],[code]])</f>
        <v>1.9826827002987924E-5</v>
      </c>
      <c r="N112" s="6" t="str">
        <f>IF(t_input[[#This Row],[%skill]]&gt;LARGE(t_tools_priorities[threshold],1),"Fondamentales",IF(t_input[[#This Row],[%skill]]&gt;LARGE(t_tools_priorities[threshold],2),"Secondaires","Accessoires"))</f>
        <v>Accessoires</v>
      </c>
    </row>
    <row r="113" spans="2:14" ht="30" x14ac:dyDescent="0.25">
      <c r="B113" s="1" t="s">
        <v>231</v>
      </c>
      <c r="C113" s="1" t="s">
        <v>16</v>
      </c>
      <c r="D113" s="1" t="s">
        <v>17</v>
      </c>
      <c r="E113" s="1" t="s">
        <v>23</v>
      </c>
      <c r="F113" s="22" t="s">
        <v>2</v>
      </c>
      <c r="G113" s="22">
        <v>100</v>
      </c>
      <c r="H113" s="6">
        <f>AVERAGEIFS(t_input[priorité],t_input[code],t_input[[#This Row],[code]])</f>
        <v>100</v>
      </c>
      <c r="I113" s="6">
        <f>IFERROR(INDEX(t_tools_feelings[coeff],MATCH(t_input[[#This Row],[feeling]],t_tools_feelings[feelings],0))/(t_input[[#This Row],[priorité]]*t_input[[#This Row],[priorité]]),0)</f>
        <v>1E-4</v>
      </c>
      <c r="J113" s="6">
        <f>SUMIFS(t_input[weight],t_input[code],t_input[[#This Row],[code]])</f>
        <v>4.2000000000000002E-4</v>
      </c>
      <c r="K113" s="6">
        <f>SUM(t_input[sum_skill])</f>
        <v>127.10051888888896</v>
      </c>
      <c r="L113" s="7">
        <f>t_input[[#This Row],[sum_skill]]/t_input[[#This Row],[sum_module]]</f>
        <v>3.3044711671646539E-6</v>
      </c>
      <c r="M113" s="7">
        <f>SUMIFS(t_input[%obs],t_input[code],t_input[[#This Row],[code]])</f>
        <v>1.9826827002987924E-5</v>
      </c>
      <c r="N113" s="6" t="str">
        <f>IF(t_input[[#This Row],[%skill]]&gt;LARGE(t_tools_priorities[threshold],1),"Fondamentales",IF(t_input[[#This Row],[%skill]]&gt;LARGE(t_tools_priorities[threshold],2),"Secondaires","Accessoires"))</f>
        <v>Accessoires</v>
      </c>
    </row>
    <row r="114" spans="2:14" ht="30" x14ac:dyDescent="0.25">
      <c r="B114" s="1" t="s">
        <v>231</v>
      </c>
      <c r="C114" s="1" t="s">
        <v>16</v>
      </c>
      <c r="D114" s="1" t="s">
        <v>17</v>
      </c>
      <c r="E114" s="1" t="s">
        <v>24</v>
      </c>
      <c r="F114" s="22" t="s">
        <v>2</v>
      </c>
      <c r="G114" s="22">
        <v>100</v>
      </c>
      <c r="H114" s="6">
        <f>AVERAGEIFS(t_input[priorité],t_input[code],t_input[[#This Row],[code]])</f>
        <v>100</v>
      </c>
      <c r="I114" s="6">
        <f>IFERROR(INDEX(t_tools_feelings[coeff],MATCH(t_input[[#This Row],[feeling]],t_tools_feelings[feelings],0))/(t_input[[#This Row],[priorité]]*t_input[[#This Row],[priorité]]),0)</f>
        <v>1E-4</v>
      </c>
      <c r="J114" s="6">
        <f>SUMIFS(t_input[weight],t_input[code],t_input[[#This Row],[code]])</f>
        <v>4.2000000000000002E-4</v>
      </c>
      <c r="K114" s="6">
        <f>SUM(t_input[sum_skill])</f>
        <v>127.10051888888896</v>
      </c>
      <c r="L114" s="7">
        <f>t_input[[#This Row],[sum_skill]]/t_input[[#This Row],[sum_module]]</f>
        <v>3.3044711671646539E-6</v>
      </c>
      <c r="M114" s="7">
        <f>SUMIFS(t_input[%obs],t_input[code],t_input[[#This Row],[code]])</f>
        <v>1.9826827002987924E-5</v>
      </c>
      <c r="N114" s="6" t="str">
        <f>IF(t_input[[#This Row],[%skill]]&gt;LARGE(t_tools_priorities[threshold],1),"Fondamentales",IF(t_input[[#This Row],[%skill]]&gt;LARGE(t_tools_priorities[threshold],2),"Secondaires","Accessoires"))</f>
        <v>Accessoires</v>
      </c>
    </row>
    <row r="115" spans="2:14" ht="45" x14ac:dyDescent="0.25">
      <c r="B115" s="1" t="s">
        <v>223</v>
      </c>
      <c r="C115" s="1" t="s">
        <v>114</v>
      </c>
      <c r="D115" s="1" t="s">
        <v>115</v>
      </c>
      <c r="E115" s="1" t="s">
        <v>116</v>
      </c>
      <c r="F115" s="22" t="s">
        <v>3</v>
      </c>
      <c r="G115" s="22">
        <v>2</v>
      </c>
      <c r="H115" s="6">
        <f>AVERAGEIFS(t_input[priorité],t_input[code],t_input[[#This Row],[code]])</f>
        <v>2</v>
      </c>
      <c r="I115" s="6">
        <f>IFERROR(INDEX(t_tools_feelings[coeff],MATCH(t_input[[#This Row],[feeling]],t_tools_feelings[feelings],0))/(t_input[[#This Row],[priorité]]*t_input[[#This Row],[priorité]]),0)</f>
        <v>2.5000000000000001E-2</v>
      </c>
      <c r="J115" s="6">
        <f>SUMIFS(t_input[weight],t_input[code],t_input[[#This Row],[code]])</f>
        <v>2.5000000000000001E-2</v>
      </c>
      <c r="K115" s="6">
        <f>SUM(t_input[sum_skill])</f>
        <v>127.10051888888896</v>
      </c>
      <c r="L115" s="7">
        <f>t_input[[#This Row],[sum_skill]]/t_input[[#This Row],[sum_module]]</f>
        <v>1.966947123312294E-4</v>
      </c>
      <c r="M115" s="7">
        <f>SUMIFS(t_input[%obs],t_input[code],t_input[[#This Row],[code]])</f>
        <v>1.966947123312294E-4</v>
      </c>
      <c r="N115" s="6" t="str">
        <f>IF(t_input[[#This Row],[%skill]]&gt;LARGE(t_tools_priorities[threshold],1),"Fondamentales",IF(t_input[[#This Row],[%skill]]&gt;LARGE(t_tools_priorities[threshold],2),"Secondaires","Accessoires"))</f>
        <v>Accessoires</v>
      </c>
    </row>
    <row r="116" spans="2:14" ht="45" x14ac:dyDescent="0.25">
      <c r="B116" s="1" t="s">
        <v>299</v>
      </c>
      <c r="C116" s="1" t="s">
        <v>362</v>
      </c>
      <c r="D116" s="1" t="s">
        <v>363</v>
      </c>
      <c r="E116" s="1" t="s">
        <v>364</v>
      </c>
      <c r="F116" s="22" t="s">
        <v>3</v>
      </c>
      <c r="G116" s="22">
        <v>2</v>
      </c>
      <c r="H116" s="6">
        <f>AVERAGEIFS(t_input[priorité],t_input[code],t_input[[#This Row],[code]])</f>
        <v>2</v>
      </c>
      <c r="I116" s="6">
        <f>IFERROR(INDEX(t_tools_feelings[coeff],MATCH(t_input[[#This Row],[feeling]],t_tools_feelings[feelings],0))/(t_input[[#This Row],[priorité]]*t_input[[#This Row],[priorité]]),0)</f>
        <v>2.5000000000000001E-2</v>
      </c>
      <c r="J116" s="6">
        <f>SUMIFS(t_input[weight],t_input[code],t_input[[#This Row],[code]])</f>
        <v>2.5000000000000001E-2</v>
      </c>
      <c r="K116" s="6">
        <f>SUM(t_input[sum_skill])</f>
        <v>127.10051888888896</v>
      </c>
      <c r="L116" s="7">
        <f>t_input[[#This Row],[sum_skill]]/t_input[[#This Row],[sum_module]]</f>
        <v>1.966947123312294E-4</v>
      </c>
      <c r="M116" s="7">
        <f>SUMIFS(t_input[%obs],t_input[code],t_input[[#This Row],[code]])</f>
        <v>1.966947123312294E-4</v>
      </c>
      <c r="N116" s="6" t="str">
        <f>IF(t_input[[#This Row],[%skill]]&gt;LARGE(t_tools_priorities[threshold],1),"Fondamentales",IF(t_input[[#This Row],[%skill]]&gt;LARGE(t_tools_priorities[threshold],2),"Secondaires","Accessoires"))</f>
        <v>Accessoires</v>
      </c>
    </row>
    <row r="117" spans="2:14" ht="30" x14ac:dyDescent="0.25">
      <c r="B117" s="1" t="s">
        <v>319</v>
      </c>
      <c r="C117" s="1" t="s">
        <v>18</v>
      </c>
      <c r="D117" s="1" t="s">
        <v>19</v>
      </c>
      <c r="E117" s="1" t="s">
        <v>20</v>
      </c>
      <c r="F117" s="22" t="s">
        <v>2</v>
      </c>
      <c r="G117" s="22">
        <v>5</v>
      </c>
      <c r="H117" s="6">
        <f>AVERAGEIFS(t_input[priorité],t_input[code],t_input[[#This Row],[code]])</f>
        <v>5</v>
      </c>
      <c r="I117" s="6">
        <f>IFERROR(INDEX(t_tools_feelings[coeff],MATCH(t_input[[#This Row],[feeling]],t_tools_feelings[feelings],0))/(t_input[[#This Row],[priorité]]*t_input[[#This Row],[priorité]]),0)</f>
        <v>0.04</v>
      </c>
      <c r="J117" s="6">
        <f>SUMIFS(t_input[weight],t_input[code],t_input[[#This Row],[code]])</f>
        <v>0.04</v>
      </c>
      <c r="K117" s="6">
        <f>SUM(t_input[sum_skill])</f>
        <v>127.10051888888896</v>
      </c>
      <c r="L117" s="7">
        <f>t_input[[#This Row],[sum_skill]]/t_input[[#This Row],[sum_module]]</f>
        <v>3.1471153972996701E-4</v>
      </c>
      <c r="M117" s="7">
        <f>SUMIFS(t_input[%obs],t_input[code],t_input[[#This Row],[code]])</f>
        <v>3.1471153972996701E-4</v>
      </c>
      <c r="N117" s="6" t="str">
        <f>IF(t_input[[#This Row],[%skill]]&gt;LARGE(t_tools_priorities[threshold],1),"Fondamentales",IF(t_input[[#This Row],[%skill]]&gt;LARGE(t_tools_priorities[threshold],2),"Secondaires","Accessoires"))</f>
        <v>Accessoires</v>
      </c>
    </row>
    <row r="118" spans="2:14" ht="30" x14ac:dyDescent="0.25">
      <c r="B118" s="1" t="s">
        <v>227</v>
      </c>
      <c r="C118" s="1" t="s">
        <v>133</v>
      </c>
      <c r="D118" s="1" t="s">
        <v>134</v>
      </c>
      <c r="E118" s="1" t="s">
        <v>135</v>
      </c>
      <c r="F118" s="22" t="s">
        <v>3</v>
      </c>
      <c r="G118" s="22">
        <v>6</v>
      </c>
      <c r="H118" s="6">
        <f>AVERAGEIFS(t_input[priorité],t_input[code],t_input[[#This Row],[code]])</f>
        <v>53</v>
      </c>
      <c r="I118" s="6">
        <f>IFERROR(INDEX(t_tools_feelings[coeff],MATCH(t_input[[#This Row],[feeling]],t_tools_feelings[feelings],0))/(t_input[[#This Row],[priorité]]*t_input[[#This Row],[priorité]]),0)</f>
        <v>2.7777777777777779E-3</v>
      </c>
      <c r="J118" s="6">
        <f>SUMIFS(t_input[weight],t_input[code],t_input[[#This Row],[code]])</f>
        <v>2.8777777777777777E-3</v>
      </c>
      <c r="K118" s="6">
        <f>SUM(t_input[sum_skill])</f>
        <v>127.10051888888896</v>
      </c>
      <c r="L118" s="7">
        <f>t_input[[#This Row],[sum_skill]]/t_input[[#This Row],[sum_module]]</f>
        <v>2.2641746886128183E-5</v>
      </c>
      <c r="M118" s="7">
        <f>SUMIFS(t_input[%obs],t_input[code],t_input[[#This Row],[code]])</f>
        <v>4.5283493772256366E-5</v>
      </c>
      <c r="N118" s="6" t="str">
        <f>IF(t_input[[#This Row],[%skill]]&gt;LARGE(t_tools_priorities[threshold],1),"Fondamentales",IF(t_input[[#This Row],[%skill]]&gt;LARGE(t_tools_priorities[threshold],2),"Secondaires","Accessoires"))</f>
        <v>Accessoires</v>
      </c>
    </row>
    <row r="119" spans="2:14" ht="30" x14ac:dyDescent="0.25">
      <c r="B119" s="1" t="s">
        <v>227</v>
      </c>
      <c r="C119" s="1" t="s">
        <v>133</v>
      </c>
      <c r="D119" s="1" t="s">
        <v>136</v>
      </c>
      <c r="E119" s="1" t="s">
        <v>137</v>
      </c>
      <c r="F119" s="22" t="s">
        <v>2</v>
      </c>
      <c r="G119" s="22">
        <v>100</v>
      </c>
      <c r="H119" s="6">
        <f>AVERAGEIFS(t_input[priorité],t_input[code],t_input[[#This Row],[code]])</f>
        <v>53</v>
      </c>
      <c r="I119" s="6">
        <f>IFERROR(INDEX(t_tools_feelings[coeff],MATCH(t_input[[#This Row],[feeling]],t_tools_feelings[feelings],0))/(t_input[[#This Row],[priorité]]*t_input[[#This Row],[priorité]]),0)</f>
        <v>1E-4</v>
      </c>
      <c r="J119" s="6">
        <f>SUMIFS(t_input[weight],t_input[code],t_input[[#This Row],[code]])</f>
        <v>2.8777777777777777E-3</v>
      </c>
      <c r="K119" s="6">
        <f>SUM(t_input[sum_skill])</f>
        <v>127.10051888888896</v>
      </c>
      <c r="L119" s="7">
        <f>t_input[[#This Row],[sum_skill]]/t_input[[#This Row],[sum_module]]</f>
        <v>2.2641746886128183E-5</v>
      </c>
      <c r="M119" s="7">
        <f>SUMIFS(t_input[%obs],t_input[code],t_input[[#This Row],[code]])</f>
        <v>4.5283493772256366E-5</v>
      </c>
      <c r="N119" s="6" t="str">
        <f>IF(t_input[[#This Row],[%skill]]&gt;LARGE(t_tools_priorities[threshold],1),"Fondamentales",IF(t_input[[#This Row],[%skill]]&gt;LARGE(t_tools_priorities[threshold],2),"Secondaires","Accessoires"))</f>
        <v>Accessoires</v>
      </c>
    </row>
    <row r="120" spans="2:14" ht="45" x14ac:dyDescent="0.25">
      <c r="B120" s="1" t="s">
        <v>169</v>
      </c>
      <c r="C120" s="1" t="s">
        <v>107</v>
      </c>
      <c r="D120" s="1" t="s">
        <v>108</v>
      </c>
      <c r="E120" s="1" t="s">
        <v>109</v>
      </c>
      <c r="F120" s="21" t="s">
        <v>2</v>
      </c>
      <c r="G120" s="22">
        <v>6</v>
      </c>
      <c r="H120" s="6">
        <f>AVERAGEIFS(t_input[priorité],t_input[code],t_input[[#This Row],[code]])</f>
        <v>6</v>
      </c>
      <c r="I120" s="6">
        <f>IFERROR(INDEX(t_tools_feelings[coeff],MATCH(t_input[[#This Row],[feeling]],t_tools_feelings[feelings],0))/(t_input[[#This Row],[priorité]]*t_input[[#This Row],[priorité]]),0)</f>
        <v>2.7777777777777776E-2</v>
      </c>
      <c r="J120" s="6">
        <f>SUMIFS(t_input[weight],t_input[code],t_input[[#This Row],[code]])</f>
        <v>2.7777777777777776E-2</v>
      </c>
      <c r="K120" s="6">
        <f>SUM(t_input[sum_skill])</f>
        <v>127.10051888888896</v>
      </c>
      <c r="L120" s="7">
        <f>t_input[[#This Row],[sum_skill]]/t_input[[#This Row],[sum_module]]</f>
        <v>2.1854968036803265E-4</v>
      </c>
      <c r="M120" s="7">
        <f>SUMIFS(t_input[%obs],t_input[code],t_input[[#This Row],[code]])</f>
        <v>2.1854968036803265E-4</v>
      </c>
      <c r="N120" s="6" t="str">
        <f>IF(t_input[[#This Row],[%skill]]&gt;LARGE(t_tools_priorities[threshold],1),"Fondamentales",IF(t_input[[#This Row],[%skill]]&gt;LARGE(t_tools_priorities[threshold],2),"Secondaires","Accessoires"))</f>
        <v>Accessoires</v>
      </c>
    </row>
    <row r="121" spans="2:14" ht="45" x14ac:dyDescent="0.25">
      <c r="B121" s="1" t="s">
        <v>222</v>
      </c>
      <c r="C121" s="1" t="s">
        <v>142</v>
      </c>
      <c r="D121" s="1" t="s">
        <v>143</v>
      </c>
      <c r="E121" s="1" t="s">
        <v>144</v>
      </c>
      <c r="F121" s="22" t="s">
        <v>3</v>
      </c>
      <c r="G121" s="22">
        <v>4</v>
      </c>
      <c r="H121" s="6">
        <f>AVERAGEIFS(t_input[priorité],t_input[code],t_input[[#This Row],[code]])</f>
        <v>4</v>
      </c>
      <c r="I121" s="6">
        <f>IFERROR(INDEX(t_tools_feelings[coeff],MATCH(t_input[[#This Row],[feeling]],t_tools_feelings[feelings],0))/(t_input[[#This Row],[priorité]]*t_input[[#This Row],[priorité]]),0)</f>
        <v>6.2500000000000003E-3</v>
      </c>
      <c r="J121" s="6">
        <f>SUMIFS(t_input[weight],t_input[code],t_input[[#This Row],[code]])</f>
        <v>6.2500000000000003E-3</v>
      </c>
      <c r="K121" s="6">
        <f>SUM(t_input[sum_skill])</f>
        <v>127.10051888888896</v>
      </c>
      <c r="L121" s="7">
        <f>t_input[[#This Row],[sum_skill]]/t_input[[#This Row],[sum_module]]</f>
        <v>4.917367808280735E-5</v>
      </c>
      <c r="M121" s="7">
        <f>SUMIFS(t_input[%obs],t_input[code],t_input[[#This Row],[code]])</f>
        <v>4.917367808280735E-5</v>
      </c>
      <c r="N121" s="6" t="str">
        <f>IF(t_input[[#This Row],[%skill]]&gt;LARGE(t_tools_priorities[threshold],1),"Fondamentales",IF(t_input[[#This Row],[%skill]]&gt;LARGE(t_tools_priorities[threshold],2),"Secondaires","Accessoires"))</f>
        <v>Accessoires</v>
      </c>
    </row>
    <row r="122" spans="2:14" ht="30" x14ac:dyDescent="0.25">
      <c r="B122" s="1" t="s">
        <v>258</v>
      </c>
      <c r="C122" s="1" t="s">
        <v>383</v>
      </c>
      <c r="D122" s="1" t="s">
        <v>384</v>
      </c>
      <c r="E122" s="1" t="s">
        <v>385</v>
      </c>
      <c r="F122" s="22" t="s">
        <v>3</v>
      </c>
      <c r="G122" s="22">
        <v>6</v>
      </c>
      <c r="H122" s="6">
        <f>AVERAGEIFS(t_input[priorité],t_input[code],t_input[[#This Row],[code]])</f>
        <v>6</v>
      </c>
      <c r="I122" s="6">
        <f>IFERROR(INDEX(t_tools_feelings[coeff],MATCH(t_input[[#This Row],[feeling]],t_tools_feelings[feelings],0))/(t_input[[#This Row],[priorité]]*t_input[[#This Row],[priorité]]),0)</f>
        <v>2.7777777777777779E-3</v>
      </c>
      <c r="J122" s="6">
        <f>SUMIFS(t_input[weight],t_input[code],t_input[[#This Row],[code]])</f>
        <v>2.7777777777777779E-3</v>
      </c>
      <c r="K122" s="6">
        <f>SUM(t_input[sum_skill])</f>
        <v>127.10051888888896</v>
      </c>
      <c r="L122" s="7">
        <f>t_input[[#This Row],[sum_skill]]/t_input[[#This Row],[sum_module]]</f>
        <v>2.1854968036803266E-5</v>
      </c>
      <c r="M122" s="7">
        <f>SUMIFS(t_input[%obs],t_input[code],t_input[[#This Row],[code]])</f>
        <v>2.1854968036803266E-5</v>
      </c>
      <c r="N122" s="6" t="str">
        <f>IF(t_input[[#This Row],[%skill]]&gt;LARGE(t_tools_priorities[threshold],1),"Fondamentales",IF(t_input[[#This Row],[%skill]]&gt;LARGE(t_tools_priorities[threshold],2),"Secondaires","Accessoires"))</f>
        <v>Accessoires</v>
      </c>
    </row>
    <row r="123" spans="2:14" ht="30" x14ac:dyDescent="0.25">
      <c r="B123" s="1" t="s">
        <v>179</v>
      </c>
      <c r="C123" s="1" t="s">
        <v>139</v>
      </c>
      <c r="D123" s="1" t="s">
        <v>140</v>
      </c>
      <c r="E123" s="1" t="s">
        <v>141</v>
      </c>
      <c r="F123" s="21" t="s">
        <v>3</v>
      </c>
      <c r="G123" s="22">
        <v>100</v>
      </c>
      <c r="H123" s="6">
        <f>AVERAGEIFS(t_input[priorité],t_input[code],t_input[[#This Row],[code]])</f>
        <v>100</v>
      </c>
      <c r="I123" s="6">
        <f>IFERROR(INDEX(t_tools_feelings[coeff],MATCH(t_input[[#This Row],[feeling]],t_tools_feelings[feelings],0))/(t_input[[#This Row],[priorité]]*t_input[[#This Row],[priorité]]),0)</f>
        <v>1.0000000000000001E-5</v>
      </c>
      <c r="J123" s="6">
        <f>SUMIFS(t_input[weight],t_input[code],t_input[[#This Row],[code]])</f>
        <v>1.0000000000000001E-5</v>
      </c>
      <c r="K123" s="6">
        <f>SUM(t_input[sum_skill])</f>
        <v>127.10051888888896</v>
      </c>
      <c r="L123" s="7">
        <f>t_input[[#This Row],[sum_skill]]/t_input[[#This Row],[sum_module]]</f>
        <v>7.8677884932491757E-8</v>
      </c>
      <c r="M123" s="7">
        <f>SUMIFS(t_input[%obs],t_input[code],t_input[[#This Row],[code]])</f>
        <v>7.8677884932491757E-8</v>
      </c>
      <c r="N123" s="6" t="str">
        <f>IF(t_input[[#This Row],[%skill]]&gt;LARGE(t_tools_priorities[threshold],1),"Fondamentales",IF(t_input[[#This Row],[%skill]]&gt;LARGE(t_tools_priorities[threshold],2),"Secondaires","Accessoires"))</f>
        <v>Accessoires</v>
      </c>
    </row>
  </sheetData>
  <dataValidations count="1">
    <dataValidation type="whole" allowBlank="1" showInputMessage="1" showErrorMessage="1" sqref="G15:G123" xr:uid="{E5D447F9-0D0E-413C-9432-3DF9FC9907FF}">
      <formula1>1</formula1>
      <formula2>999</formula2>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B04BF72D-671B-4C50-9376-F38455DD03FC}">
          <x14:formula1>
            <xm:f>tools!$D$4:$D$5</xm:f>
          </x14:formula1>
          <xm:sqref>F15:F123</xm:sqref>
        </x14:dataValidation>
      </x14:dataValidations>
    </ex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1834D-9A93-42FF-8FD0-D7B89914A971}">
  <dimension ref="B2:H24"/>
  <sheetViews>
    <sheetView workbookViewId="0"/>
  </sheetViews>
  <sheetFormatPr defaultRowHeight="15" x14ac:dyDescent="0.25"/>
  <cols>
    <col min="2" max="2" width="9.140625" style="3"/>
  </cols>
  <sheetData>
    <row r="2" spans="2:8" x14ac:dyDescent="0.25">
      <c r="B2" s="27" t="s">
        <v>1056</v>
      </c>
      <c r="C2" t="s">
        <v>1055</v>
      </c>
    </row>
    <row r="4" spans="2:8" x14ac:dyDescent="0.25">
      <c r="C4" s="23"/>
      <c r="D4" s="24" t="s">
        <v>1053</v>
      </c>
    </row>
    <row r="5" spans="2:8" x14ac:dyDescent="0.25">
      <c r="D5" s="24" t="s">
        <v>1052</v>
      </c>
    </row>
    <row r="7" spans="2:8" x14ac:dyDescent="0.25">
      <c r="B7" s="27" t="s">
        <v>1060</v>
      </c>
      <c r="C7" t="s">
        <v>1065</v>
      </c>
    </row>
    <row r="9" spans="2:8" x14ac:dyDescent="0.25">
      <c r="D9" s="33" t="s">
        <v>448</v>
      </c>
      <c r="E9" s="33"/>
      <c r="F9" s="33"/>
      <c r="G9" s="33"/>
      <c r="H9" s="33"/>
    </row>
    <row r="10" spans="2:8" x14ac:dyDescent="0.25">
      <c r="D10" s="34" t="s">
        <v>427</v>
      </c>
      <c r="E10" s="34"/>
      <c r="F10" s="34"/>
      <c r="G10" s="34"/>
      <c r="H10" s="34"/>
    </row>
    <row r="11" spans="2:8" x14ac:dyDescent="0.25">
      <c r="D11" s="35" t="s">
        <v>411</v>
      </c>
      <c r="E11" s="35"/>
      <c r="F11" s="35"/>
      <c r="G11" s="35"/>
      <c r="H11" s="35"/>
    </row>
    <row r="12" spans="2:8" x14ac:dyDescent="0.25">
      <c r="D12" s="36" t="s">
        <v>486</v>
      </c>
      <c r="E12" s="36"/>
      <c r="F12" s="36"/>
      <c r="G12" s="36"/>
      <c r="H12" s="36"/>
    </row>
    <row r="13" spans="2:8" x14ac:dyDescent="0.25">
      <c r="D13" s="37" t="s">
        <v>421</v>
      </c>
      <c r="E13" s="37"/>
      <c r="F13" s="37"/>
      <c r="G13" s="37"/>
      <c r="H13" s="37"/>
    </row>
    <row r="14" spans="2:8" x14ac:dyDescent="0.25">
      <c r="D14" s="32" t="s">
        <v>424</v>
      </c>
      <c r="E14" s="32"/>
      <c r="F14" s="32"/>
      <c r="G14" s="32"/>
      <c r="H14" s="32"/>
    </row>
    <row r="16" spans="2:8" x14ac:dyDescent="0.25">
      <c r="B16" s="27" t="s">
        <v>1057</v>
      </c>
      <c r="C16" t="s">
        <v>1058</v>
      </c>
    </row>
    <row r="17" spans="2:3" x14ac:dyDescent="0.25">
      <c r="B17" s="27"/>
    </row>
    <row r="18" spans="2:3" x14ac:dyDescent="0.25">
      <c r="B18" s="27" t="s">
        <v>1059</v>
      </c>
      <c r="C18" t="s">
        <v>1066</v>
      </c>
    </row>
    <row r="19" spans="2:3" x14ac:dyDescent="0.25">
      <c r="B19" s="27"/>
      <c r="C19" t="s">
        <v>1067</v>
      </c>
    </row>
    <row r="21" spans="2:3" x14ac:dyDescent="0.25">
      <c r="B21" s="28" t="s">
        <v>1061</v>
      </c>
      <c r="C21" s="26" t="s">
        <v>1062</v>
      </c>
    </row>
    <row r="22" spans="2:3" x14ac:dyDescent="0.25">
      <c r="B22" s="8"/>
      <c r="C22" s="26" t="s">
        <v>1063</v>
      </c>
    </row>
    <row r="24" spans="2:3" x14ac:dyDescent="0.25">
      <c r="B24" s="29" t="s">
        <v>1064</v>
      </c>
      <c r="C24" s="25" t="s">
        <v>1054</v>
      </c>
    </row>
  </sheetData>
  <mergeCells count="6">
    <mergeCell ref="D14:H14"/>
    <mergeCell ref="D9:H9"/>
    <mergeCell ref="D10:H10"/>
    <mergeCell ref="D11:H11"/>
    <mergeCell ref="D12:H12"/>
    <mergeCell ref="D13:H13"/>
  </mergeCells>
  <hyperlinks>
    <hyperlink ref="C24" r:id="rId1" display="Plus de détails sur ces compétences sont disponibles sur le site du SFIA" xr:uid="{033F0711-0858-4727-A1C9-B778EB87FDA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E4DA4-23A6-480E-9BC6-472FC59146AB}">
  <dimension ref="A1:H88"/>
  <sheetViews>
    <sheetView showGridLines="0" workbookViewId="0">
      <selection activeCell="E7" sqref="E7"/>
    </sheetView>
  </sheetViews>
  <sheetFormatPr defaultRowHeight="21" x14ac:dyDescent="0.25"/>
  <cols>
    <col min="1" max="1" width="6.7109375" style="15" customWidth="1"/>
    <col min="2" max="2" width="6.7109375" style="16" customWidth="1"/>
    <col min="3" max="4" width="6.7109375" style="14" customWidth="1"/>
    <col min="5" max="5" width="218.42578125" style="2" customWidth="1"/>
    <col min="6" max="6" width="8.42578125" style="2" hidden="1" customWidth="1"/>
    <col min="7" max="7" width="15.140625" style="2" customWidth="1"/>
    <col min="8" max="16384" width="9.140625" style="2"/>
  </cols>
  <sheetData>
    <row r="1" spans="1:8" s="14" customFormat="1" ht="18.75" x14ac:dyDescent="0.3">
      <c r="A1" s="30"/>
      <c r="B1" s="30"/>
      <c r="C1" s="30"/>
      <c r="D1" s="30"/>
      <c r="E1" s="30"/>
      <c r="F1" s="17" t="s">
        <v>1051</v>
      </c>
      <c r="G1" s="18"/>
      <c r="H1" s="2"/>
    </row>
    <row r="2" spans="1:8" x14ac:dyDescent="0.35">
      <c r="A2" s="19" t="s">
        <v>1049</v>
      </c>
      <c r="B2" s="30"/>
      <c r="C2" s="30"/>
      <c r="D2" s="30"/>
      <c r="E2" s="30"/>
      <c r="F2" s="31">
        <v>0.76156737068402292</v>
      </c>
      <c r="G2"/>
    </row>
    <row r="3" spans="1:8" x14ac:dyDescent="0.35">
      <c r="A3" s="19"/>
      <c r="B3" s="30" t="s">
        <v>411</v>
      </c>
      <c r="C3" s="30"/>
      <c r="D3" s="30"/>
      <c r="E3" s="30"/>
      <c r="F3" s="31">
        <v>0.76156737068402292</v>
      </c>
      <c r="G3"/>
    </row>
    <row r="4" spans="1:8" x14ac:dyDescent="0.35">
      <c r="A4" s="19"/>
      <c r="B4" s="30"/>
      <c r="C4" s="30" t="s">
        <v>446</v>
      </c>
      <c r="D4" s="30"/>
      <c r="E4" s="30"/>
      <c r="F4" s="31">
        <v>0.76156737068402292</v>
      </c>
      <c r="G4"/>
    </row>
    <row r="5" spans="1:8" x14ac:dyDescent="0.35">
      <c r="A5" s="19"/>
      <c r="B5" s="30"/>
      <c r="C5" s="30"/>
      <c r="D5" s="30" t="s">
        <v>1041</v>
      </c>
      <c r="E5" s="30"/>
      <c r="F5" s="31">
        <v>0.30543091277470902</v>
      </c>
      <c r="G5"/>
    </row>
    <row r="6" spans="1:8" ht="15.75" x14ac:dyDescent="0.25">
      <c r="A6" s="30"/>
      <c r="B6" s="30"/>
      <c r="C6" s="30"/>
      <c r="D6" s="30"/>
      <c r="E6" s="30"/>
      <c r="F6" s="31"/>
      <c r="G6"/>
    </row>
    <row r="7" spans="1:8" x14ac:dyDescent="0.35">
      <c r="A7" s="19"/>
      <c r="B7" s="30"/>
      <c r="C7" s="30"/>
      <c r="D7" s="30" t="s">
        <v>1042</v>
      </c>
      <c r="E7" s="30"/>
      <c r="F7" s="31">
        <v>0.16434270259602304</v>
      </c>
      <c r="G7"/>
    </row>
    <row r="8" spans="1:8" ht="15.75" x14ac:dyDescent="0.25">
      <c r="A8" s="30"/>
      <c r="B8" s="30"/>
      <c r="C8" s="30"/>
      <c r="D8" s="30"/>
      <c r="E8" s="30"/>
      <c r="F8" s="31"/>
      <c r="G8"/>
    </row>
    <row r="9" spans="1:8" x14ac:dyDescent="0.35">
      <c r="A9" s="19"/>
      <c r="B9" s="30"/>
      <c r="C9" s="30"/>
      <c r="D9" s="30" t="s">
        <v>1043</v>
      </c>
      <c r="E9" s="30"/>
      <c r="F9" s="31">
        <v>0.15703273918455193</v>
      </c>
      <c r="G9"/>
    </row>
    <row r="10" spans="1:8" ht="15.75" x14ac:dyDescent="0.25">
      <c r="A10" s="30"/>
      <c r="B10" s="30"/>
      <c r="C10" s="30"/>
      <c r="D10" s="30"/>
      <c r="E10" s="30"/>
      <c r="F10" s="31"/>
      <c r="G10"/>
    </row>
    <row r="11" spans="1:8" x14ac:dyDescent="0.35">
      <c r="A11" s="19"/>
      <c r="B11" s="30"/>
      <c r="C11" s="30"/>
      <c r="D11" s="30" t="s">
        <v>1044</v>
      </c>
      <c r="E11" s="30"/>
      <c r="F11" s="31">
        <v>0.13476101612873889</v>
      </c>
      <c r="G11"/>
    </row>
    <row r="12" spans="1:8" ht="15.75" x14ac:dyDescent="0.25">
      <c r="A12" s="30"/>
      <c r="B12" s="30"/>
      <c r="C12" s="30"/>
      <c r="D12" s="30"/>
      <c r="E12" s="30"/>
      <c r="F12" s="31"/>
      <c r="G12"/>
    </row>
    <row r="13" spans="1:8" x14ac:dyDescent="0.35">
      <c r="A13" s="19" t="s">
        <v>1050</v>
      </c>
      <c r="B13" s="30"/>
      <c r="C13" s="30"/>
      <c r="D13" s="30"/>
      <c r="E13" s="30"/>
      <c r="F13" s="31">
        <v>0.2384326293159772</v>
      </c>
      <c r="G13"/>
    </row>
    <row r="14" spans="1:8" x14ac:dyDescent="0.35">
      <c r="A14" s="19"/>
      <c r="B14" s="30" t="s">
        <v>411</v>
      </c>
      <c r="C14" s="30"/>
      <c r="D14" s="30"/>
      <c r="E14" s="30"/>
      <c r="F14" s="31">
        <v>0.13709234518716557</v>
      </c>
      <c r="G14"/>
    </row>
    <row r="15" spans="1:8" x14ac:dyDescent="0.35">
      <c r="A15" s="19"/>
      <c r="B15" s="30"/>
      <c r="C15" s="30" t="s">
        <v>418</v>
      </c>
      <c r="D15" s="30"/>
      <c r="E15" s="30"/>
      <c r="F15" s="31">
        <v>0.13709234518716557</v>
      </c>
      <c r="G15"/>
    </row>
    <row r="16" spans="1:8" x14ac:dyDescent="0.35">
      <c r="A16" s="19"/>
      <c r="B16" s="30"/>
      <c r="C16" s="30"/>
      <c r="D16" s="30" t="s">
        <v>1045</v>
      </c>
      <c r="E16" s="30"/>
      <c r="F16" s="31">
        <v>7.0987866906952746E-2</v>
      </c>
      <c r="G16"/>
    </row>
    <row r="17" spans="1:7" ht="15.75" x14ac:dyDescent="0.25">
      <c r="A17" s="30"/>
      <c r="B17" s="30"/>
      <c r="C17" s="30"/>
      <c r="D17" s="30"/>
      <c r="E17" s="30"/>
      <c r="F17" s="31"/>
      <c r="G17"/>
    </row>
    <row r="18" spans="1:7" x14ac:dyDescent="0.35">
      <c r="A18" s="19"/>
      <c r="B18" s="30"/>
      <c r="C18" s="30"/>
      <c r="D18" s="30" t="s">
        <v>1046</v>
      </c>
      <c r="E18" s="30"/>
      <c r="F18" s="31">
        <v>6.6104478280212806E-2</v>
      </c>
      <c r="G18"/>
    </row>
    <row r="19" spans="1:7" ht="15.75" x14ac:dyDescent="0.25">
      <c r="A19" s="30"/>
      <c r="B19" s="30"/>
      <c r="C19" s="30"/>
      <c r="D19" s="30"/>
      <c r="E19" s="30"/>
      <c r="F19" s="31"/>
      <c r="G19"/>
    </row>
    <row r="20" spans="1:7" x14ac:dyDescent="0.35">
      <c r="A20" s="19"/>
      <c r="B20" s="30" t="s">
        <v>427</v>
      </c>
      <c r="C20" s="30"/>
      <c r="D20" s="30"/>
      <c r="E20" s="30"/>
      <c r="F20" s="31">
        <v>7.2889275455388147E-2</v>
      </c>
      <c r="G20"/>
    </row>
    <row r="21" spans="1:7" x14ac:dyDescent="0.35">
      <c r="A21" s="19"/>
      <c r="B21" s="30"/>
      <c r="C21" s="30" t="s">
        <v>435</v>
      </c>
      <c r="D21" s="30"/>
      <c r="E21" s="30"/>
      <c r="F21" s="31">
        <v>7.2889275455388147E-2</v>
      </c>
      <c r="G21"/>
    </row>
    <row r="22" spans="1:7" x14ac:dyDescent="0.35">
      <c r="A22" s="19"/>
      <c r="B22" s="30"/>
      <c r="C22" s="30"/>
      <c r="D22" s="30" t="s">
        <v>1047</v>
      </c>
      <c r="E22" s="30"/>
      <c r="F22" s="31">
        <v>7.2889275455388147E-2</v>
      </c>
      <c r="G22"/>
    </row>
    <row r="23" spans="1:7" ht="15.75" x14ac:dyDescent="0.25">
      <c r="A23" s="30"/>
      <c r="B23" s="30"/>
      <c r="C23" s="30"/>
      <c r="D23" s="30"/>
      <c r="E23" s="30"/>
      <c r="F23" s="31"/>
      <c r="G23"/>
    </row>
    <row r="24" spans="1:7" x14ac:dyDescent="0.35">
      <c r="A24" s="19"/>
      <c r="B24" s="30" t="s">
        <v>424</v>
      </c>
      <c r="C24" s="30"/>
      <c r="D24" s="30"/>
      <c r="E24" s="30"/>
      <c r="F24" s="31">
        <v>2.8451008673423515E-2</v>
      </c>
      <c r="G24"/>
    </row>
    <row r="25" spans="1:7" x14ac:dyDescent="0.35">
      <c r="A25" s="19"/>
      <c r="B25" s="30"/>
      <c r="C25" s="30" t="s">
        <v>441</v>
      </c>
      <c r="D25" s="30"/>
      <c r="E25" s="30"/>
      <c r="F25" s="31">
        <v>2.8451008673423515E-2</v>
      </c>
      <c r="G25"/>
    </row>
    <row r="26" spans="1:7" x14ac:dyDescent="0.35">
      <c r="A26" s="19"/>
      <c r="B26" s="30"/>
      <c r="C26" s="30"/>
      <c r="D26" s="30" t="s">
        <v>1048</v>
      </c>
      <c r="E26" s="30"/>
      <c r="F26" s="31">
        <v>2.8451008673423515E-2</v>
      </c>
      <c r="G26"/>
    </row>
    <row r="27" spans="1:7" ht="15.75" x14ac:dyDescent="0.25">
      <c r="A27" s="30"/>
      <c r="B27" s="30"/>
      <c r="C27" s="30"/>
      <c r="D27" s="30"/>
      <c r="E27" s="30"/>
      <c r="F27" s="31"/>
      <c r="G27"/>
    </row>
    <row r="28" spans="1:7" ht="15.75" x14ac:dyDescent="0.25">
      <c r="A28"/>
      <c r="B28"/>
      <c r="C28"/>
      <c r="D28"/>
      <c r="E28"/>
      <c r="F28"/>
      <c r="G28"/>
    </row>
    <row r="29" spans="1:7" ht="15" x14ac:dyDescent="0.25">
      <c r="A29"/>
      <c r="B29"/>
      <c r="C29"/>
      <c r="D29"/>
      <c r="E29"/>
      <c r="F29"/>
      <c r="G29"/>
    </row>
    <row r="30" spans="1:7" ht="15" x14ac:dyDescent="0.25">
      <c r="A30"/>
      <c r="B30"/>
      <c r="C30"/>
      <c r="D30"/>
      <c r="E30"/>
      <c r="F30"/>
      <c r="G30"/>
    </row>
    <row r="31" spans="1:7" ht="15" x14ac:dyDescent="0.25">
      <c r="A31"/>
      <c r="B31"/>
      <c r="C31"/>
      <c r="D31"/>
      <c r="E31"/>
      <c r="F31"/>
      <c r="G31"/>
    </row>
    <row r="32" spans="1:7" ht="15" x14ac:dyDescent="0.25">
      <c r="A32"/>
      <c r="B32"/>
      <c r="C32"/>
      <c r="D32"/>
      <c r="E32"/>
      <c r="F32"/>
      <c r="G32"/>
    </row>
    <row r="33" spans="1:7" ht="15" x14ac:dyDescent="0.25">
      <c r="A33"/>
      <c r="B33"/>
      <c r="C33"/>
      <c r="D33"/>
      <c r="E33"/>
      <c r="F33"/>
      <c r="G33"/>
    </row>
    <row r="34" spans="1:7" ht="15" x14ac:dyDescent="0.25">
      <c r="A34"/>
      <c r="B34"/>
      <c r="C34"/>
      <c r="D34"/>
      <c r="E34"/>
      <c r="F34"/>
      <c r="G34"/>
    </row>
    <row r="35" spans="1:7" ht="15" x14ac:dyDescent="0.25">
      <c r="A35"/>
      <c r="B35"/>
      <c r="C35"/>
      <c r="D35"/>
      <c r="E35"/>
      <c r="F35"/>
      <c r="G35"/>
    </row>
    <row r="36" spans="1:7" ht="15" x14ac:dyDescent="0.25">
      <c r="A36"/>
      <c r="B36"/>
      <c r="C36"/>
      <c r="D36"/>
      <c r="E36"/>
      <c r="F36"/>
      <c r="G36"/>
    </row>
    <row r="37" spans="1:7" ht="15" x14ac:dyDescent="0.25">
      <c r="A37"/>
      <c r="B37"/>
      <c r="C37"/>
      <c r="D37"/>
      <c r="E37"/>
      <c r="F37"/>
      <c r="G37"/>
    </row>
    <row r="38" spans="1:7" ht="15" x14ac:dyDescent="0.25">
      <c r="A38"/>
      <c r="B38"/>
      <c r="C38"/>
      <c r="D38"/>
      <c r="E38"/>
      <c r="F38"/>
      <c r="G38"/>
    </row>
    <row r="39" spans="1:7" ht="15" x14ac:dyDescent="0.25">
      <c r="A39"/>
      <c r="B39"/>
      <c r="C39"/>
      <c r="D39"/>
      <c r="E39"/>
      <c r="F39"/>
      <c r="G39"/>
    </row>
    <row r="40" spans="1:7" ht="15" x14ac:dyDescent="0.25">
      <c r="A40"/>
      <c r="B40"/>
      <c r="C40"/>
      <c r="D40"/>
      <c r="E40"/>
      <c r="F40"/>
      <c r="G40"/>
    </row>
    <row r="41" spans="1:7" ht="15" x14ac:dyDescent="0.25">
      <c r="A41"/>
      <c r="B41"/>
      <c r="C41"/>
      <c r="D41"/>
      <c r="E41"/>
      <c r="F41"/>
      <c r="G41"/>
    </row>
    <row r="42" spans="1:7" ht="15" x14ac:dyDescent="0.25">
      <c r="A42"/>
      <c r="B42"/>
      <c r="C42"/>
      <c r="D42"/>
      <c r="E42"/>
      <c r="F42"/>
      <c r="G42"/>
    </row>
    <row r="43" spans="1:7" ht="15" x14ac:dyDescent="0.25">
      <c r="A43"/>
      <c r="B43"/>
      <c r="C43"/>
      <c r="D43"/>
      <c r="E43"/>
      <c r="F43"/>
      <c r="G43"/>
    </row>
    <row r="44" spans="1:7" ht="15" x14ac:dyDescent="0.25">
      <c r="A44"/>
      <c r="B44"/>
      <c r="C44"/>
      <c r="D44"/>
      <c r="E44"/>
      <c r="F44"/>
      <c r="G44"/>
    </row>
    <row r="45" spans="1:7" ht="15" x14ac:dyDescent="0.25">
      <c r="A45"/>
      <c r="B45"/>
      <c r="C45"/>
      <c r="D45"/>
      <c r="E45"/>
      <c r="F45"/>
      <c r="G45"/>
    </row>
    <row r="46" spans="1:7" ht="15" x14ac:dyDescent="0.25">
      <c r="A46"/>
      <c r="B46"/>
      <c r="C46"/>
      <c r="D46"/>
      <c r="E46"/>
      <c r="F46"/>
      <c r="G46"/>
    </row>
    <row r="47" spans="1:7" ht="15" x14ac:dyDescent="0.25">
      <c r="A47"/>
      <c r="B47"/>
      <c r="C47"/>
      <c r="D47"/>
      <c r="E47"/>
      <c r="F47"/>
      <c r="G47"/>
    </row>
    <row r="48" spans="1:7" ht="15" x14ac:dyDescent="0.25">
      <c r="A48"/>
      <c r="B48"/>
      <c r="C48"/>
      <c r="D48"/>
      <c r="E48"/>
      <c r="F48"/>
      <c r="G48"/>
    </row>
    <row r="49" spans="1:7" ht="15" x14ac:dyDescent="0.25">
      <c r="A49"/>
      <c r="B49"/>
      <c r="C49"/>
      <c r="D49"/>
      <c r="E49"/>
      <c r="F49"/>
      <c r="G49"/>
    </row>
    <row r="50" spans="1:7" ht="15" x14ac:dyDescent="0.25">
      <c r="A50"/>
      <c r="B50"/>
      <c r="C50"/>
      <c r="D50"/>
      <c r="E50"/>
      <c r="F50"/>
      <c r="G50"/>
    </row>
    <row r="51" spans="1:7" ht="15" x14ac:dyDescent="0.25">
      <c r="A51"/>
      <c r="B51"/>
      <c r="C51"/>
      <c r="D51"/>
      <c r="E51"/>
      <c r="F51"/>
      <c r="G51"/>
    </row>
    <row r="52" spans="1:7" ht="15" x14ac:dyDescent="0.25">
      <c r="A52"/>
      <c r="B52"/>
      <c r="C52"/>
      <c r="D52"/>
      <c r="E52"/>
      <c r="F52"/>
      <c r="G52"/>
    </row>
    <row r="53" spans="1:7" ht="15" x14ac:dyDescent="0.25">
      <c r="A53"/>
      <c r="B53"/>
      <c r="C53"/>
      <c r="D53"/>
      <c r="E53"/>
      <c r="F53"/>
      <c r="G53"/>
    </row>
    <row r="54" spans="1:7" ht="15" x14ac:dyDescent="0.25">
      <c r="A54"/>
      <c r="B54"/>
      <c r="C54"/>
      <c r="D54"/>
      <c r="E54"/>
      <c r="F54"/>
      <c r="G54"/>
    </row>
    <row r="55" spans="1:7" ht="15" x14ac:dyDescent="0.25">
      <c r="A55"/>
      <c r="B55"/>
      <c r="C55"/>
      <c r="D55"/>
      <c r="E55"/>
      <c r="F55"/>
      <c r="G55"/>
    </row>
    <row r="56" spans="1:7" ht="15" x14ac:dyDescent="0.25">
      <c r="A56"/>
      <c r="B56"/>
      <c r="C56"/>
      <c r="D56"/>
      <c r="E56"/>
      <c r="F56"/>
      <c r="G56"/>
    </row>
    <row r="57" spans="1:7" ht="15" x14ac:dyDescent="0.25">
      <c r="A57"/>
      <c r="B57"/>
      <c r="C57"/>
      <c r="D57"/>
      <c r="E57"/>
      <c r="F57"/>
      <c r="G57"/>
    </row>
    <row r="58" spans="1:7" ht="15" x14ac:dyDescent="0.25">
      <c r="A58"/>
      <c r="B58"/>
      <c r="C58"/>
      <c r="D58"/>
      <c r="E58"/>
      <c r="F58"/>
      <c r="G58"/>
    </row>
    <row r="59" spans="1:7" ht="15" x14ac:dyDescent="0.25">
      <c r="A59"/>
      <c r="B59"/>
      <c r="C59"/>
      <c r="D59"/>
      <c r="E59"/>
      <c r="F59"/>
      <c r="G59"/>
    </row>
    <row r="60" spans="1:7" ht="15" x14ac:dyDescent="0.25">
      <c r="A60"/>
      <c r="B60"/>
      <c r="C60"/>
      <c r="D60"/>
      <c r="E60"/>
      <c r="F60"/>
      <c r="G60"/>
    </row>
    <row r="61" spans="1:7" ht="15" x14ac:dyDescent="0.25">
      <c r="A61"/>
      <c r="B61"/>
      <c r="C61"/>
      <c r="D61"/>
      <c r="E61"/>
      <c r="F61"/>
      <c r="G61"/>
    </row>
    <row r="62" spans="1:7" ht="15" x14ac:dyDescent="0.25">
      <c r="A62"/>
      <c r="B62"/>
      <c r="C62"/>
      <c r="D62"/>
      <c r="E62"/>
      <c r="F62"/>
    </row>
    <row r="63" spans="1:7" ht="15" x14ac:dyDescent="0.25">
      <c r="A63"/>
      <c r="B63"/>
      <c r="C63"/>
      <c r="D63"/>
      <c r="E63"/>
      <c r="F63"/>
    </row>
    <row r="64" spans="1:7" ht="15" x14ac:dyDescent="0.25">
      <c r="A64"/>
      <c r="B64"/>
      <c r="C64"/>
      <c r="D64"/>
      <c r="E64"/>
      <c r="F64"/>
    </row>
    <row r="65" spans="1:6" ht="15" x14ac:dyDescent="0.25">
      <c r="A65"/>
      <c r="B65"/>
      <c r="C65"/>
      <c r="D65"/>
      <c r="E65"/>
      <c r="F65"/>
    </row>
    <row r="66" spans="1:6" ht="15" x14ac:dyDescent="0.25">
      <c r="A66"/>
      <c r="B66"/>
      <c r="C66"/>
      <c r="D66"/>
      <c r="E66"/>
      <c r="F66"/>
    </row>
    <row r="67" spans="1:6" ht="15" x14ac:dyDescent="0.25">
      <c r="A67"/>
      <c r="B67"/>
      <c r="C67"/>
      <c r="D67"/>
      <c r="E67"/>
      <c r="F67"/>
    </row>
    <row r="68" spans="1:6" ht="15" x14ac:dyDescent="0.25">
      <c r="A68"/>
      <c r="B68"/>
      <c r="C68"/>
      <c r="D68"/>
      <c r="E68"/>
      <c r="F68"/>
    </row>
    <row r="69" spans="1:6" ht="15" x14ac:dyDescent="0.25">
      <c r="A69"/>
      <c r="B69"/>
      <c r="C69"/>
      <c r="D69"/>
      <c r="E69"/>
      <c r="F69"/>
    </row>
    <row r="70" spans="1:6" ht="15" x14ac:dyDescent="0.25">
      <c r="A70"/>
      <c r="B70"/>
      <c r="C70"/>
      <c r="D70"/>
      <c r="E70"/>
      <c r="F70"/>
    </row>
    <row r="71" spans="1:6" ht="15" x14ac:dyDescent="0.25">
      <c r="A71"/>
      <c r="B71"/>
      <c r="C71"/>
      <c r="D71"/>
      <c r="E71"/>
      <c r="F71"/>
    </row>
    <row r="72" spans="1:6" ht="15" x14ac:dyDescent="0.25">
      <c r="A72"/>
      <c r="B72"/>
      <c r="C72"/>
      <c r="D72"/>
      <c r="E72"/>
      <c r="F72"/>
    </row>
    <row r="73" spans="1:6" ht="15" x14ac:dyDescent="0.25">
      <c r="A73"/>
      <c r="B73"/>
      <c r="C73"/>
      <c r="D73"/>
      <c r="E73"/>
      <c r="F73"/>
    </row>
    <row r="74" spans="1:6" ht="15" x14ac:dyDescent="0.25">
      <c r="A74"/>
      <c r="B74"/>
      <c r="C74"/>
      <c r="D74"/>
      <c r="E74"/>
      <c r="F74"/>
    </row>
    <row r="75" spans="1:6" ht="15" x14ac:dyDescent="0.25">
      <c r="A75"/>
      <c r="B75"/>
      <c r="C75"/>
      <c r="D75"/>
      <c r="E75"/>
      <c r="F75"/>
    </row>
    <row r="76" spans="1:6" ht="15" x14ac:dyDescent="0.25">
      <c r="A76"/>
      <c r="B76"/>
      <c r="C76"/>
      <c r="D76"/>
      <c r="E76"/>
      <c r="F76"/>
    </row>
    <row r="77" spans="1:6" ht="15" x14ac:dyDescent="0.25">
      <c r="A77"/>
      <c r="B77"/>
      <c r="C77"/>
      <c r="D77"/>
      <c r="E77"/>
      <c r="F77"/>
    </row>
    <row r="78" spans="1:6" ht="15" x14ac:dyDescent="0.25">
      <c r="A78"/>
      <c r="B78"/>
      <c r="C78"/>
      <c r="D78"/>
      <c r="E78"/>
      <c r="F78"/>
    </row>
    <row r="79" spans="1:6" x14ac:dyDescent="0.35">
      <c r="A79" s="19"/>
      <c r="B79" s="20"/>
      <c r="C79" s="18"/>
      <c r="D79" s="18"/>
      <c r="E79"/>
      <c r="F79"/>
    </row>
    <row r="80" spans="1:6" x14ac:dyDescent="0.35">
      <c r="A80" s="19"/>
      <c r="B80" s="20"/>
      <c r="C80" s="18"/>
      <c r="D80" s="18"/>
      <c r="E80"/>
      <c r="F80"/>
    </row>
    <row r="81" spans="1:6" x14ac:dyDescent="0.35">
      <c r="A81" s="19"/>
      <c r="B81" s="20"/>
      <c r="C81" s="18"/>
      <c r="D81" s="18"/>
      <c r="E81"/>
      <c r="F81"/>
    </row>
    <row r="82" spans="1:6" x14ac:dyDescent="0.35">
      <c r="A82" s="19"/>
      <c r="B82" s="20"/>
      <c r="C82" s="18"/>
      <c r="D82" s="18"/>
      <c r="E82"/>
      <c r="F82"/>
    </row>
    <row r="83" spans="1:6" x14ac:dyDescent="0.35">
      <c r="A83" s="19"/>
      <c r="B83" s="20"/>
      <c r="C83" s="18"/>
      <c r="D83" s="18"/>
      <c r="E83"/>
      <c r="F83"/>
    </row>
    <row r="84" spans="1:6" x14ac:dyDescent="0.35">
      <c r="A84" s="19"/>
      <c r="B84" s="20"/>
      <c r="C84" s="18"/>
      <c r="D84" s="18"/>
      <c r="E84"/>
      <c r="F84"/>
    </row>
    <row r="85" spans="1:6" x14ac:dyDescent="0.35">
      <c r="A85" s="19"/>
      <c r="B85" s="20"/>
      <c r="C85" s="18"/>
      <c r="D85" s="18"/>
      <c r="E85"/>
      <c r="F85"/>
    </row>
    <row r="86" spans="1:6" x14ac:dyDescent="0.35">
      <c r="A86" s="19"/>
      <c r="B86" s="20"/>
      <c r="C86" s="18"/>
      <c r="D86" s="18"/>
      <c r="E86"/>
      <c r="F86"/>
    </row>
    <row r="87" spans="1:6" x14ac:dyDescent="0.35">
      <c r="A87" s="19"/>
      <c r="B87" s="20"/>
      <c r="C87" s="18"/>
      <c r="D87" s="18"/>
      <c r="E87"/>
      <c r="F87"/>
    </row>
    <row r="88" spans="1:6" x14ac:dyDescent="0.35">
      <c r="A88" s="19"/>
      <c r="B88" s="20"/>
      <c r="C88" s="18"/>
      <c r="D88" s="18"/>
      <c r="E88"/>
      <c r="F88"/>
    </row>
  </sheetData>
  <conditionalFormatting pivot="1" sqref="F2:F27">
    <cfRule type="expression" dxfId="71" priority="1">
      <formula>LEN(E2)&gt;0</formula>
    </cfRule>
  </conditionalFormatting>
  <conditionalFormatting sqref="E1:E1048573">
    <cfRule type="expression" dxfId="70" priority="16">
      <formula>AND(LOOKUP("zzzzz",$A$1:$A1)="Fondamentales",LEN($E1)&gt;0)</formula>
    </cfRule>
    <cfRule type="expression" dxfId="69" priority="35">
      <formula>LEN(E1)&gt;0</formula>
    </cfRule>
  </conditionalFormatting>
  <conditionalFormatting sqref="D1:D1048573">
    <cfRule type="expression" dxfId="68" priority="15">
      <formula>AND(LOOKUP("zzzzz",$A$1:$A1)="Fondamentales",LEN($B1)=0)</formula>
    </cfRule>
  </conditionalFormatting>
  <conditionalFormatting sqref="A1:A1048573">
    <cfRule type="expression" dxfId="67" priority="2">
      <formula>LOOKUP("zzzzz",$A$1:$A1)="Fondamentales"</formula>
    </cfRule>
  </conditionalFormatting>
  <conditionalFormatting sqref="A1048574:A1048576">
    <cfRule type="expression" dxfId="66" priority="118">
      <formula>LOOKUP("zzzzz",$A$1:$A1048576)="Fondamentales"</formula>
    </cfRule>
  </conditionalFormatting>
  <conditionalFormatting sqref="E1048575:E1048576">
    <cfRule type="expression" dxfId="65" priority="147">
      <formula>AND(LOOKUP("zzzzz",#REF!)="Fondamentales",LEN($E1048575)&gt;0)</formula>
    </cfRule>
    <cfRule type="expression" dxfId="64" priority="148">
      <formula>LEN(E1048575)&gt;0</formula>
    </cfRule>
  </conditionalFormatting>
  <conditionalFormatting sqref="E1048574">
    <cfRule type="expression" dxfId="63" priority="149">
      <formula>AND(LOOKUP("zzzzz",$A$1:$A1048576)="Fondamentales",LEN($E1048574)&gt;0)</formula>
    </cfRule>
    <cfRule type="expression" dxfId="62" priority="150">
      <formula>LEN(E1048574)&gt;0</formula>
    </cfRule>
  </conditionalFormatting>
  <conditionalFormatting sqref="D1048575:D1048576">
    <cfRule type="expression" dxfId="61" priority="151">
      <formula>AND(LOOKUP("zzzzz",#REF!)="Fondamentales",LEN($B1048575)=0)</formula>
    </cfRule>
  </conditionalFormatting>
  <conditionalFormatting sqref="D1048574">
    <cfRule type="expression" dxfId="60" priority="152">
      <formula>AND(LOOKUP("zzzzz",$A$1:$A1048576)="Fondamentales",LEN($B1048574)=0)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7B056843-8C58-42A4-8640-E8565182415F}">
            <xm:f>AND(LOOKUP("zzzzz",$A$1:$A1)="Fondamentales",LOOKUP("zzzzz",B$1:B1)=tools!$A$157)</xm:f>
            <x14:dxf>
              <font>
                <b/>
                <i val="0"/>
                <color rgb="FF9400D3"/>
              </font>
              <fill>
                <patternFill patternType="none">
                  <bgColor auto="1"/>
                </patternFill>
              </fill>
            </x14:dxf>
          </x14:cfRule>
          <x14:cfRule type="expression" priority="6" id="{E6D05A68-8719-49ED-8E04-FF0D3410F6B0}">
            <xm:f>AND(LOOKUP("zzzzz",$A$1:$A1)="Fondamentales",LOOKUP("zzzzz",B$1:B1)=tools!$A$16)</xm:f>
            <x14:dxf>
              <font>
                <b/>
                <i val="0"/>
                <color rgb="FF8B4513"/>
              </font>
              <fill>
                <patternFill patternType="none">
                  <bgColor auto="1"/>
                </patternFill>
              </fill>
            </x14:dxf>
          </x14:cfRule>
          <x14:cfRule type="expression" priority="8" id="{EE017210-3482-4340-8CB4-DBFE5FB82C62}">
            <xm:f>AND(LOOKUP("zzzzz",$A$1:$A1)="Fondamentales",LOOKUP("zzzzz",B$1:B1)=tools!$A$17)</xm:f>
            <x14:dxf>
              <font>
                <b/>
                <i val="0"/>
                <color rgb="FFB8860B"/>
              </font>
              <fill>
                <patternFill patternType="none">
                  <bgColor auto="1"/>
                </patternFill>
              </fill>
            </x14:dxf>
          </x14:cfRule>
          <x14:cfRule type="expression" priority="10" id="{4CE0A75A-B8D0-4847-9E42-E3A11DB262D4}">
            <xm:f>AND(LOOKUP("zzzzz",$A$1:$A1)="Fondamentales",LOOKUP("zzzzz",B$1:B1)=tools!$A$18)</xm:f>
            <x14:dxf>
              <font>
                <b/>
                <i val="0"/>
                <color rgb="FF191970"/>
              </font>
              <fill>
                <patternFill patternType="none">
                  <bgColor auto="1"/>
                </patternFill>
              </fill>
            </x14:dxf>
          </x14:cfRule>
          <x14:cfRule type="expression" priority="12" id="{1471CCD8-395F-48E3-AD56-202EF80979C2}">
            <xm:f>AND(LOOKUP("zzzzz",$A$1:$A1)="Fondamentales",LOOKUP("zzzzz",B$1:B1)=tools!$A$19)</xm:f>
            <x14:dxf>
              <font>
                <b/>
                <i val="0"/>
                <color rgb="FF006400"/>
              </font>
              <fill>
                <patternFill patternType="none">
                  <bgColor auto="1"/>
                </patternFill>
              </fill>
            </x14:dxf>
          </x14:cfRule>
          <x14:cfRule type="expression" priority="14" id="{AE05F590-C1EA-4123-8020-CD561F6A71DB}">
            <xm:f>AND(LOOKUP("zzzzz",$A$1:$A1)="Fondamentales",LOOKUP("zzzzz",B$1:B1)=tools!$A$20)</xm:f>
            <x14:dxf>
              <font>
                <b/>
                <i val="0"/>
                <color rgb="FFB22222"/>
              </font>
              <fill>
                <patternFill patternType="none">
                  <bgColor auto="1"/>
                </patternFill>
              </fill>
            </x14:dxf>
          </x14:cfRule>
          <x14:cfRule type="expression" priority="18" id="{DB103251-CD71-47EC-B24C-33D7C5B9D9B0}">
            <xm:f>AND(LOOKUP("zzzzz",$A$1:$A1)="Secondaires",LOOKUP("zzzzz",B$1:B1)=tools!$A$15)</xm:f>
            <x14:dxf>
              <font>
                <b val="0"/>
                <i val="0"/>
                <color rgb="FF9400D3"/>
              </font>
              <fill>
                <patternFill patternType="none">
                  <bgColor auto="1"/>
                </patternFill>
              </fill>
            </x14:dxf>
          </x14:cfRule>
          <x14:cfRule type="expression" priority="20" id="{446465D3-CF77-43CA-B644-B2F92864A50B}">
            <xm:f>AND(LOOKUP("zzzzz",$A$1:$A1)="Secondaires",LOOKUP("zzzzz",B$1:B1)=tools!$A$16)</xm:f>
            <x14:dxf>
              <font>
                <b val="0"/>
                <i val="0"/>
                <color rgb="FF8B4513"/>
              </font>
              <fill>
                <patternFill patternType="none">
                  <bgColor auto="1"/>
                </patternFill>
              </fill>
            </x14:dxf>
          </x14:cfRule>
          <x14:cfRule type="expression" priority="22" id="{DE8A2B5D-BD7F-47F4-8FF9-5967708C82F5}">
            <xm:f>AND(LOOKUP("zzzzz",$A$1:$A1)="Secondaires",LOOKUP("zzzzz",B$1:B1)=tools!$A$17)</xm:f>
            <x14:dxf>
              <font>
                <b val="0"/>
                <i val="0"/>
                <color rgb="FFB8860B"/>
              </font>
              <fill>
                <patternFill patternType="none">
                  <bgColor auto="1"/>
                </patternFill>
              </fill>
            </x14:dxf>
          </x14:cfRule>
          <x14:cfRule type="expression" priority="24" id="{2E79FCEF-35D2-4017-83D8-8EE1CE854234}">
            <xm:f>AND(LOOKUP("zzzzz",$A$1:$A1)="Secondaires",LOOKUP("zzzzz",B$1:B1)=tools!$A$18)</xm:f>
            <x14:dxf>
              <font>
                <b val="0"/>
                <i val="0"/>
                <color rgb="FF191970"/>
              </font>
              <fill>
                <patternFill patternType="none">
                  <bgColor auto="1"/>
                </patternFill>
              </fill>
            </x14:dxf>
          </x14:cfRule>
          <x14:cfRule type="expression" priority="26" id="{35DF1497-ED88-4D1B-AE35-3FDB3318BF4A}">
            <xm:f>AND(LOOKUP("zzzzz",$A$1:$A1)="Secondaires",LOOKUP("zzzzz",B$1:B1)=tools!$A$19)</xm:f>
            <x14:dxf>
              <font>
                <b val="0"/>
                <i val="0"/>
                <color rgb="FF006400"/>
              </font>
              <fill>
                <patternFill patternType="none">
                  <bgColor auto="1"/>
                </patternFill>
              </fill>
            </x14:dxf>
          </x14:cfRule>
          <x14:cfRule type="expression" priority="34" id="{8A3ED9DA-377A-47B9-99B4-C8040A35C46D}">
            <xm:f>AND(LOOKUP("zzzzz",$A$1:$A1)="Secondaires",LOOKUP("zzzzz",B$1:B1)=tools!$A$20)</xm:f>
            <x14:dxf>
              <font>
                <b val="0"/>
                <i val="0"/>
                <color rgb="FFB22222"/>
              </font>
              <fill>
                <patternFill patternType="none">
                  <bgColor auto="1"/>
                </patternFill>
              </fill>
            </x14:dxf>
          </x14:cfRule>
          <xm:sqref>C1:C1048573</xm:sqref>
        </x14:conditionalFormatting>
        <x14:conditionalFormatting xmlns:xm="http://schemas.microsoft.com/office/excel/2006/main">
          <x14:cfRule type="expression" priority="3" id="{B179A69C-D8C3-4509-9B82-939F02A7CF69}">
            <xm:f>AND(LOOKUP("zzzzz",$A$1:$A1)="Fondamentales",$B1=tools!$A$15)</xm:f>
            <x14:dxf>
              <font>
                <b/>
                <i val="0"/>
                <color theme="0"/>
              </font>
              <fill>
                <patternFill>
                  <bgColor rgb="FF9400D3"/>
                </patternFill>
              </fill>
            </x14:dxf>
          </x14:cfRule>
          <x14:cfRule type="expression" priority="5" id="{1C649E17-E666-4206-BC8B-21E1AB0C4347}">
            <xm:f>AND(LOOKUP("zzzzz",$A$1:$A1)="Fondamentales",$B1=tools!$A$16)</xm:f>
            <x14:dxf>
              <font>
                <b/>
                <i val="0"/>
                <color theme="0"/>
              </font>
              <fill>
                <patternFill>
                  <bgColor rgb="FF8B4513"/>
                </patternFill>
              </fill>
            </x14:dxf>
          </x14:cfRule>
          <x14:cfRule type="expression" priority="7" id="{A08F473A-1F40-4F76-905B-2EFC0E1FAE5B}">
            <xm:f>AND(LOOKUP("zzzzz",$A$1:$A1)="Fondamentales",$B1=tools!$A$17)</xm:f>
            <x14:dxf>
              <font>
                <b/>
                <i val="0"/>
                <color theme="0"/>
              </font>
              <fill>
                <patternFill>
                  <bgColor rgb="FFB8860B"/>
                </patternFill>
              </fill>
            </x14:dxf>
          </x14:cfRule>
          <x14:cfRule type="expression" priority="9" id="{CD872869-6D74-4BEA-8669-E84136547212}">
            <xm:f>AND(LOOKUP("zzzzz",$A$1:$A1)="Fondamentales",$B1=tools!$A$18)</xm:f>
            <x14:dxf>
              <font>
                <b/>
                <i val="0"/>
                <color theme="0"/>
              </font>
              <fill>
                <patternFill>
                  <bgColor rgb="FF191970"/>
                </patternFill>
              </fill>
            </x14:dxf>
          </x14:cfRule>
          <x14:cfRule type="expression" priority="11" id="{67A0383E-2824-4156-B3E7-BBE48E62C820}">
            <xm:f>AND(LOOKUP("zzzzz",$A$1:$A1)="Fondamentales",$B1=tools!$A$19)</xm:f>
            <x14:dxf>
              <font>
                <b/>
                <i val="0"/>
                <color theme="0"/>
              </font>
              <fill>
                <patternFill>
                  <bgColor rgb="FF006400"/>
                </patternFill>
              </fill>
            </x14:dxf>
          </x14:cfRule>
          <x14:cfRule type="expression" priority="13" id="{00224A8B-0A1D-4A0D-9931-38B63E4C3FF5}">
            <xm:f>AND(LOOKUP("zzzzz",$A$1:$A1)="Fondamentales",$B1=tools!$A$20)</xm:f>
            <x14:dxf>
              <font>
                <b/>
                <i val="0"/>
                <color theme="0"/>
              </font>
              <fill>
                <patternFill>
                  <bgColor rgb="FFB22222"/>
                </patternFill>
              </fill>
            </x14:dxf>
          </x14:cfRule>
          <x14:cfRule type="expression" priority="17" id="{F24D9ABE-36AC-48F9-8238-FA66C9DF7F39}">
            <xm:f>AND(LOOKUP("zzzzz",$A$1:$A1)="Secondaires",$B1=tools!$A$15)</xm:f>
            <x14:dxf>
              <font>
                <b val="0"/>
                <i val="0"/>
                <color theme="0"/>
              </font>
              <fill>
                <patternFill>
                  <bgColor rgb="FF9400D3"/>
                </patternFill>
              </fill>
            </x14:dxf>
          </x14:cfRule>
          <x14:cfRule type="expression" priority="19" id="{16768677-C0A6-4F31-BD4B-0C5FE47C7103}">
            <xm:f>AND(LOOKUP("zzzzz",$A$1:$A1)="Secondaires",$B1=tools!$A$16)</xm:f>
            <x14:dxf>
              <font>
                <b val="0"/>
                <i val="0"/>
                <color theme="0"/>
              </font>
              <fill>
                <patternFill>
                  <bgColor rgb="FF8B4513"/>
                </patternFill>
              </fill>
            </x14:dxf>
          </x14:cfRule>
          <x14:cfRule type="expression" priority="21" id="{B6001342-630C-4826-8460-B030C525094A}">
            <xm:f>AND(LOOKUP("zzzzz",$A$1:$A1)="Secondaires",$B1=tools!$A$17)</xm:f>
            <x14:dxf>
              <font>
                <b val="0"/>
                <i val="0"/>
                <color theme="0"/>
              </font>
              <fill>
                <patternFill>
                  <bgColor rgb="FFB8860B"/>
                </patternFill>
              </fill>
            </x14:dxf>
          </x14:cfRule>
          <x14:cfRule type="expression" priority="23" id="{89FE07CA-058B-452E-AB2A-1F69FC97C20F}">
            <xm:f>AND(LOOKUP("zzzzz",$A$1:$A1)="Secondaires",$B1=tools!$A$18)</xm:f>
            <x14:dxf>
              <font>
                <b val="0"/>
                <i val="0"/>
                <color theme="0"/>
              </font>
              <fill>
                <patternFill>
                  <bgColor rgb="FF191970"/>
                </patternFill>
              </fill>
            </x14:dxf>
          </x14:cfRule>
          <x14:cfRule type="expression" priority="25" id="{D36A0C1A-066D-4C22-A5D8-4C24E4719DC7}">
            <xm:f>AND(LOOKUP("zzzzz",$A$1:$A1)="Secondaires",$B1=tools!$A$19)</xm:f>
            <x14:dxf>
              <font>
                <b val="0"/>
                <i val="0"/>
                <color theme="0"/>
              </font>
              <fill>
                <patternFill>
                  <bgColor rgb="FF006400"/>
                </patternFill>
              </fill>
            </x14:dxf>
          </x14:cfRule>
          <x14:cfRule type="expression" priority="33" id="{CC80ED94-184C-4EA2-98BD-2A90167312FE}">
            <xm:f>AND(LOOKUP("zzzzz",$A$1:$A1)="Secondaires",$B1=tools!$A$20)</xm:f>
            <x14:dxf>
              <font>
                <b val="0"/>
                <i val="0"/>
                <color theme="0"/>
              </font>
              <fill>
                <patternFill>
                  <bgColor rgb="FFB22222"/>
                </patternFill>
              </fill>
            </x14:dxf>
          </x14:cfRule>
          <xm:sqref>B1:E1048573</xm:sqref>
        </x14:conditionalFormatting>
        <x14:conditionalFormatting xmlns:xm="http://schemas.microsoft.com/office/excel/2006/main">
          <x14:cfRule type="expression" priority="54" id="{7B056843-8C58-42A4-8640-E8565182415F}">
            <xm:f>AND(LOOKUP("zzzzz",$A$1:$A1048576)="Fondamentales",LOOKUP("zzzzz",B$1:B1048576)=tools!$A$157)</xm:f>
            <x14:dxf>
              <font>
                <b/>
                <i val="0"/>
                <color rgb="FF9400D3"/>
              </font>
              <fill>
                <patternFill patternType="none">
                  <bgColor auto="1"/>
                </patternFill>
              </fill>
            </x14:dxf>
          </x14:cfRule>
          <x14:cfRule type="expression" priority="55" id="{E6D05A68-8719-49ED-8E04-FF0D3410F6B0}">
            <xm:f>AND(LOOKUP("zzzzz",$A$1:$A1048576)="Fondamentales",LOOKUP("zzzzz",B$1:B1048576)=tools!$A$16)</xm:f>
            <x14:dxf>
              <font>
                <b/>
                <i val="0"/>
                <color rgb="FF8B4513"/>
              </font>
              <fill>
                <patternFill patternType="none">
                  <bgColor auto="1"/>
                </patternFill>
              </fill>
            </x14:dxf>
          </x14:cfRule>
          <x14:cfRule type="expression" priority="56" id="{EE017210-3482-4340-8CB4-DBFE5FB82C62}">
            <xm:f>AND(LOOKUP("zzzzz",$A$1:$A1048576)="Fondamentales",LOOKUP("zzzzz",B$1:B1048576)=tools!$A$17)</xm:f>
            <x14:dxf>
              <font>
                <b/>
                <i val="0"/>
                <color rgb="FFB8860B"/>
              </font>
              <fill>
                <patternFill patternType="none">
                  <bgColor auto="1"/>
                </patternFill>
              </fill>
            </x14:dxf>
          </x14:cfRule>
          <x14:cfRule type="expression" priority="57" id="{4CE0A75A-B8D0-4847-9E42-E3A11DB262D4}">
            <xm:f>AND(LOOKUP("zzzzz",$A$1:$A1048576)="Fondamentales",LOOKUP("zzzzz",B$1:B1048576)=tools!$A$18)</xm:f>
            <x14:dxf>
              <font>
                <b/>
                <i val="0"/>
                <color rgb="FF191970"/>
              </font>
              <fill>
                <patternFill patternType="none">
                  <bgColor auto="1"/>
                </patternFill>
              </fill>
            </x14:dxf>
          </x14:cfRule>
          <x14:cfRule type="expression" priority="58" id="{1471CCD8-395F-48E3-AD56-202EF80979C2}">
            <xm:f>AND(LOOKUP("zzzzz",$A$1:$A1048576)="Fondamentales",LOOKUP("zzzzz",B$1:B1048576)=tools!$A$19)</xm:f>
            <x14:dxf>
              <font>
                <b/>
                <i val="0"/>
                <color rgb="FF006400"/>
              </font>
              <fill>
                <patternFill patternType="none">
                  <bgColor auto="1"/>
                </patternFill>
              </fill>
            </x14:dxf>
          </x14:cfRule>
          <x14:cfRule type="expression" priority="59" id="{AE05F590-C1EA-4123-8020-CD561F6A71DB}">
            <xm:f>AND(LOOKUP("zzzzz",$A$1:$A1048576)="Fondamentales",LOOKUP("zzzzz",B$1:B1048576)=tools!$A$20)</xm:f>
            <x14:dxf>
              <font>
                <b/>
                <i val="0"/>
                <color rgb="FFB22222"/>
              </font>
              <fill>
                <patternFill patternType="none">
                  <bgColor auto="1"/>
                </patternFill>
              </fill>
            </x14:dxf>
          </x14:cfRule>
          <x14:cfRule type="expression" priority="60" id="{DB103251-CD71-47EC-B24C-33D7C5B9D9B0}">
            <xm:f>AND(LOOKUP("zzzzz",$A$1:$A1048576)="Secondaires",LOOKUP("zzzzz",B$1:B1048576)=tools!$A$15)</xm:f>
            <x14:dxf>
              <font>
                <b val="0"/>
                <i val="0"/>
                <color rgb="FF9400D3"/>
              </font>
              <fill>
                <patternFill patternType="none">
                  <bgColor auto="1"/>
                </patternFill>
              </fill>
            </x14:dxf>
          </x14:cfRule>
          <x14:cfRule type="expression" priority="61" id="{446465D3-CF77-43CA-B644-B2F92864A50B}">
            <xm:f>AND(LOOKUP("zzzzz",$A$1:$A1048576)="Secondaires",LOOKUP("zzzzz",B$1:B1048576)=tools!$A$16)</xm:f>
            <x14:dxf>
              <font>
                <b val="0"/>
                <i val="0"/>
                <color rgb="FF8B4513"/>
              </font>
              <fill>
                <patternFill patternType="none">
                  <bgColor auto="1"/>
                </patternFill>
              </fill>
            </x14:dxf>
          </x14:cfRule>
          <x14:cfRule type="expression" priority="62" id="{DE8A2B5D-BD7F-47F4-8FF9-5967708C82F5}">
            <xm:f>AND(LOOKUP("zzzzz",$A$1:$A1048576)="Secondaires",LOOKUP("zzzzz",B$1:B1048576)=tools!$A$17)</xm:f>
            <x14:dxf>
              <font>
                <b val="0"/>
                <i val="0"/>
                <color rgb="FFB8860B"/>
              </font>
              <fill>
                <patternFill patternType="none">
                  <bgColor auto="1"/>
                </patternFill>
              </fill>
            </x14:dxf>
          </x14:cfRule>
          <x14:cfRule type="expression" priority="63" id="{2E79FCEF-35D2-4017-83D8-8EE1CE854234}">
            <xm:f>AND(LOOKUP("zzzzz",$A$1:$A1048576)="Secondaires",LOOKUP("zzzzz",B$1:B1048576)=tools!$A$18)</xm:f>
            <x14:dxf>
              <font>
                <b val="0"/>
                <i val="0"/>
                <color rgb="FF191970"/>
              </font>
              <fill>
                <patternFill patternType="none">
                  <bgColor auto="1"/>
                </patternFill>
              </fill>
            </x14:dxf>
          </x14:cfRule>
          <x14:cfRule type="expression" priority="64" id="{35DF1497-ED88-4D1B-AE35-3FDB3318BF4A}">
            <xm:f>AND(LOOKUP("zzzzz",$A$1:$A1048576)="Secondaires",LOOKUP("zzzzz",B$1:B1048576)=tools!$A$19)</xm:f>
            <x14:dxf>
              <font>
                <b val="0"/>
                <i val="0"/>
                <color rgb="FF006400"/>
              </font>
              <fill>
                <patternFill patternType="none">
                  <bgColor auto="1"/>
                </patternFill>
              </fill>
            </x14:dxf>
          </x14:cfRule>
          <x14:cfRule type="expression" priority="65" id="{8A3ED9DA-377A-47B9-99B4-C8040A35C46D}">
            <xm:f>AND(LOOKUP("zzzzz",$A$1:$A1048576)="Secondaires",LOOKUP("zzzzz",B$1:B1048576)=tools!$A$20)</xm:f>
            <x14:dxf>
              <font>
                <b val="0"/>
                <i val="0"/>
                <color rgb="FFB22222"/>
              </font>
              <fill>
                <patternFill patternType="none">
                  <bgColor auto="1"/>
                </patternFill>
              </fill>
            </x14:dxf>
          </x14:cfRule>
          <xm:sqref>C1048574:C1048576</xm:sqref>
        </x14:conditionalFormatting>
        <x14:conditionalFormatting xmlns:xm="http://schemas.microsoft.com/office/excel/2006/main">
          <x14:cfRule type="expression" priority="153" id="{B179A69C-D8C3-4509-9B82-939F02A7CF69}">
            <xm:f>AND(LOOKUP("zzzzz",#REF!)="Fondamentales",$B1048575=tools!$A$15)</xm:f>
            <x14:dxf>
              <font>
                <b/>
                <i val="0"/>
                <color theme="0"/>
              </font>
              <fill>
                <patternFill>
                  <bgColor rgb="FF9400D3"/>
                </patternFill>
              </fill>
            </x14:dxf>
          </x14:cfRule>
          <x14:cfRule type="expression" priority="154" id="{1C649E17-E666-4206-BC8B-21E1AB0C4347}">
            <xm:f>AND(LOOKUP("zzzzz",#REF!)="Fondamentales",$B1048575=tools!$A$16)</xm:f>
            <x14:dxf>
              <font>
                <b/>
                <i val="0"/>
                <color theme="0"/>
              </font>
              <fill>
                <patternFill>
                  <bgColor rgb="FF8B4513"/>
                </patternFill>
              </fill>
            </x14:dxf>
          </x14:cfRule>
          <x14:cfRule type="expression" priority="155" id="{A08F473A-1F40-4F76-905B-2EFC0E1FAE5B}">
            <xm:f>AND(LOOKUP("zzzzz",#REF!)="Fondamentales",$B1048575=tools!$A$17)</xm:f>
            <x14:dxf>
              <font>
                <b/>
                <i val="0"/>
                <color theme="0"/>
              </font>
              <fill>
                <patternFill>
                  <bgColor rgb="FFB8860B"/>
                </patternFill>
              </fill>
            </x14:dxf>
          </x14:cfRule>
          <x14:cfRule type="expression" priority="156" id="{CD872869-6D74-4BEA-8669-E84136547212}">
            <xm:f>AND(LOOKUP("zzzzz",#REF!)="Fondamentales",$B1048575=tools!$A$18)</xm:f>
            <x14:dxf>
              <font>
                <b/>
                <i val="0"/>
                <color theme="0"/>
              </font>
              <fill>
                <patternFill>
                  <bgColor rgb="FF191970"/>
                </patternFill>
              </fill>
            </x14:dxf>
          </x14:cfRule>
          <x14:cfRule type="expression" priority="157" id="{67A0383E-2824-4156-B3E7-BBE48E62C820}">
            <xm:f>AND(LOOKUP("zzzzz",#REF!)="Fondamentales",$B1048575=tools!$A$19)</xm:f>
            <x14:dxf>
              <font>
                <b/>
                <i val="0"/>
                <color theme="0"/>
              </font>
              <fill>
                <patternFill>
                  <bgColor rgb="FF006400"/>
                </patternFill>
              </fill>
            </x14:dxf>
          </x14:cfRule>
          <x14:cfRule type="expression" priority="158" id="{00224A8B-0A1D-4A0D-9931-38B63E4C3FF5}">
            <xm:f>AND(LOOKUP("zzzzz",#REF!)="Fondamentales",$B1048575=tools!$A$20)</xm:f>
            <x14:dxf>
              <font>
                <b/>
                <i val="0"/>
                <color theme="0"/>
              </font>
              <fill>
                <patternFill>
                  <bgColor rgb="FFB22222"/>
                </patternFill>
              </fill>
            </x14:dxf>
          </x14:cfRule>
          <x14:cfRule type="expression" priority="159" id="{F24D9ABE-36AC-48F9-8238-FA66C9DF7F39}">
            <xm:f>AND(LOOKUP("zzzzz",#REF!)="Secondaires",$B1048575=tools!$A$15)</xm:f>
            <x14:dxf>
              <font>
                <b val="0"/>
                <i val="0"/>
                <color theme="0"/>
              </font>
              <fill>
                <patternFill>
                  <bgColor rgb="FF9400D3"/>
                </patternFill>
              </fill>
            </x14:dxf>
          </x14:cfRule>
          <x14:cfRule type="expression" priority="160" id="{16768677-C0A6-4F31-BD4B-0C5FE47C7103}">
            <xm:f>AND(LOOKUP("zzzzz",#REF!)="Secondaires",$B1048575=tools!$A$16)</xm:f>
            <x14:dxf>
              <font>
                <b val="0"/>
                <i val="0"/>
                <color theme="0"/>
              </font>
              <fill>
                <patternFill>
                  <bgColor rgb="FF8B4513"/>
                </patternFill>
              </fill>
            </x14:dxf>
          </x14:cfRule>
          <x14:cfRule type="expression" priority="161" id="{B6001342-630C-4826-8460-B030C525094A}">
            <xm:f>AND(LOOKUP("zzzzz",#REF!)="Secondaires",$B1048575=tools!$A$17)</xm:f>
            <x14:dxf>
              <font>
                <b val="0"/>
                <i val="0"/>
                <color theme="0"/>
              </font>
              <fill>
                <patternFill>
                  <bgColor rgb="FFB8860B"/>
                </patternFill>
              </fill>
            </x14:dxf>
          </x14:cfRule>
          <x14:cfRule type="expression" priority="162" id="{89FE07CA-058B-452E-AB2A-1F69FC97C20F}">
            <xm:f>AND(LOOKUP("zzzzz",#REF!)="Secondaires",$B1048575=tools!$A$18)</xm:f>
            <x14:dxf>
              <font>
                <b val="0"/>
                <i val="0"/>
                <color theme="0"/>
              </font>
              <fill>
                <patternFill>
                  <bgColor rgb="FF191970"/>
                </patternFill>
              </fill>
            </x14:dxf>
          </x14:cfRule>
          <x14:cfRule type="expression" priority="163" id="{D36A0C1A-066D-4C22-A5D8-4C24E4719DC7}">
            <xm:f>AND(LOOKUP("zzzzz",#REF!)="Secondaires",$B1048575=tools!$A$19)</xm:f>
            <x14:dxf>
              <font>
                <b val="0"/>
                <i val="0"/>
                <color theme="0"/>
              </font>
              <fill>
                <patternFill>
                  <bgColor rgb="FF006400"/>
                </patternFill>
              </fill>
            </x14:dxf>
          </x14:cfRule>
          <x14:cfRule type="expression" priority="164" id="{CC80ED94-184C-4EA2-98BD-2A90167312FE}">
            <xm:f>AND(LOOKUP("zzzzz",#REF!)="Secondaires",$B1048575=tools!$A$20)</xm:f>
            <x14:dxf>
              <font>
                <b val="0"/>
                <i val="0"/>
                <color theme="0"/>
              </font>
              <fill>
                <patternFill>
                  <bgColor rgb="FFB22222"/>
                </patternFill>
              </fill>
            </x14:dxf>
          </x14:cfRule>
          <xm:sqref>B1048575:E1048576</xm:sqref>
        </x14:conditionalFormatting>
        <x14:conditionalFormatting xmlns:xm="http://schemas.microsoft.com/office/excel/2006/main">
          <x14:cfRule type="expression" priority="165" id="{B179A69C-D8C3-4509-9B82-939F02A7CF69}">
            <xm:f>AND(LOOKUP("zzzzz",$A$1:$A1048576)="Fondamentales",$B1048574=tools!$A$15)</xm:f>
            <x14:dxf>
              <font>
                <b/>
                <i val="0"/>
                <color theme="0"/>
              </font>
              <fill>
                <patternFill>
                  <bgColor rgb="FF9400D3"/>
                </patternFill>
              </fill>
            </x14:dxf>
          </x14:cfRule>
          <x14:cfRule type="expression" priority="166" id="{1C649E17-E666-4206-BC8B-21E1AB0C4347}">
            <xm:f>AND(LOOKUP("zzzzz",$A$1:$A1048576)="Fondamentales",$B1048574=tools!$A$16)</xm:f>
            <x14:dxf>
              <font>
                <b/>
                <i val="0"/>
                <color theme="0"/>
              </font>
              <fill>
                <patternFill>
                  <bgColor rgb="FF8B4513"/>
                </patternFill>
              </fill>
            </x14:dxf>
          </x14:cfRule>
          <x14:cfRule type="expression" priority="167" id="{A08F473A-1F40-4F76-905B-2EFC0E1FAE5B}">
            <xm:f>AND(LOOKUP("zzzzz",$A$1:$A1048576)="Fondamentales",$B1048574=tools!$A$17)</xm:f>
            <x14:dxf>
              <font>
                <b/>
                <i val="0"/>
                <color theme="0"/>
              </font>
              <fill>
                <patternFill>
                  <bgColor rgb="FFB8860B"/>
                </patternFill>
              </fill>
            </x14:dxf>
          </x14:cfRule>
          <x14:cfRule type="expression" priority="168" id="{CD872869-6D74-4BEA-8669-E84136547212}">
            <xm:f>AND(LOOKUP("zzzzz",$A$1:$A1048576)="Fondamentales",$B1048574=tools!$A$18)</xm:f>
            <x14:dxf>
              <font>
                <b/>
                <i val="0"/>
                <color theme="0"/>
              </font>
              <fill>
                <patternFill>
                  <bgColor rgb="FF191970"/>
                </patternFill>
              </fill>
            </x14:dxf>
          </x14:cfRule>
          <x14:cfRule type="expression" priority="169" id="{67A0383E-2824-4156-B3E7-BBE48E62C820}">
            <xm:f>AND(LOOKUP("zzzzz",$A$1:$A1048576)="Fondamentales",$B1048574=tools!$A$19)</xm:f>
            <x14:dxf>
              <font>
                <b/>
                <i val="0"/>
                <color theme="0"/>
              </font>
              <fill>
                <patternFill>
                  <bgColor rgb="FF006400"/>
                </patternFill>
              </fill>
            </x14:dxf>
          </x14:cfRule>
          <x14:cfRule type="expression" priority="170" id="{00224A8B-0A1D-4A0D-9931-38B63E4C3FF5}">
            <xm:f>AND(LOOKUP("zzzzz",$A$1:$A1048576)="Fondamentales",$B1048574=tools!$A$20)</xm:f>
            <x14:dxf>
              <font>
                <b/>
                <i val="0"/>
                <color theme="0"/>
              </font>
              <fill>
                <patternFill>
                  <bgColor rgb="FFB22222"/>
                </patternFill>
              </fill>
            </x14:dxf>
          </x14:cfRule>
          <x14:cfRule type="expression" priority="171" id="{F24D9ABE-36AC-48F9-8238-FA66C9DF7F39}">
            <xm:f>AND(LOOKUP("zzzzz",$A$1:$A1048576)="Secondaires",$B1048574=tools!$A$15)</xm:f>
            <x14:dxf>
              <font>
                <b val="0"/>
                <i val="0"/>
                <color theme="0"/>
              </font>
              <fill>
                <patternFill>
                  <bgColor rgb="FF9400D3"/>
                </patternFill>
              </fill>
            </x14:dxf>
          </x14:cfRule>
          <x14:cfRule type="expression" priority="172" id="{16768677-C0A6-4F31-BD4B-0C5FE47C7103}">
            <xm:f>AND(LOOKUP("zzzzz",$A$1:$A1048576)="Secondaires",$B1048574=tools!$A$16)</xm:f>
            <x14:dxf>
              <font>
                <b val="0"/>
                <i val="0"/>
                <color theme="0"/>
              </font>
              <fill>
                <patternFill>
                  <bgColor rgb="FF8B4513"/>
                </patternFill>
              </fill>
            </x14:dxf>
          </x14:cfRule>
          <x14:cfRule type="expression" priority="173" id="{B6001342-630C-4826-8460-B030C525094A}">
            <xm:f>AND(LOOKUP("zzzzz",$A$1:$A1048576)="Secondaires",$B1048574=tools!$A$17)</xm:f>
            <x14:dxf>
              <font>
                <b val="0"/>
                <i val="0"/>
                <color theme="0"/>
              </font>
              <fill>
                <patternFill>
                  <bgColor rgb="FFB8860B"/>
                </patternFill>
              </fill>
            </x14:dxf>
          </x14:cfRule>
          <x14:cfRule type="expression" priority="174" id="{89FE07CA-058B-452E-AB2A-1F69FC97C20F}">
            <xm:f>AND(LOOKUP("zzzzz",$A$1:$A1048576)="Secondaires",$B1048574=tools!$A$18)</xm:f>
            <x14:dxf>
              <font>
                <b val="0"/>
                <i val="0"/>
                <color theme="0"/>
              </font>
              <fill>
                <patternFill>
                  <bgColor rgb="FF191970"/>
                </patternFill>
              </fill>
            </x14:dxf>
          </x14:cfRule>
          <x14:cfRule type="expression" priority="175" id="{D36A0C1A-066D-4C22-A5D8-4C24E4719DC7}">
            <xm:f>AND(LOOKUP("zzzzz",$A$1:$A1048576)="Secondaires",$B1048574=tools!$A$19)</xm:f>
            <x14:dxf>
              <font>
                <b val="0"/>
                <i val="0"/>
                <color theme="0"/>
              </font>
              <fill>
                <patternFill>
                  <bgColor rgb="FF006400"/>
                </patternFill>
              </fill>
            </x14:dxf>
          </x14:cfRule>
          <x14:cfRule type="expression" priority="176" id="{CC80ED94-184C-4EA2-98BD-2A90167312FE}">
            <xm:f>AND(LOOKUP("zzzzz",$A$1:$A1048576)="Secondaires",$B1048574=tools!$A$20)</xm:f>
            <x14:dxf>
              <font>
                <b val="0"/>
                <i val="0"/>
                <color theme="0"/>
              </font>
              <fill>
                <patternFill>
                  <bgColor rgb="FFB22222"/>
                </patternFill>
              </fill>
            </x14:dxf>
          </x14:cfRule>
          <xm:sqref>B1048574:E1048574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E2349A-7536-480D-88C5-1F7E4CFB25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tools</vt:lpstr>
      <vt:lpstr>input</vt:lpstr>
      <vt:lpstr>README</vt:lpstr>
      <vt:lpstr>compétences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gaspard varennes</dc:creator>
  <cp:lastModifiedBy>Gaspard Varennes</cp:lastModifiedBy>
  <dcterms:created xsi:type="dcterms:W3CDTF">2025-12-04T13:23:30Z</dcterms:created>
  <dcterms:modified xsi:type="dcterms:W3CDTF">2026-01-28T13:21:15Z</dcterms:modified>
</cp:coreProperties>
</file>